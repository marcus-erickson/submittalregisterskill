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gister" sheetId="1" state="visible" r:id="rId1"/>
    <sheet xmlns:r="http://schemas.openxmlformats.org/officeDocument/2006/relationships" name="Project Rules" sheetId="2" state="visible" r:id="rId2"/>
    <sheet xmlns:r="http://schemas.openxmlformats.org/officeDocument/2006/relationships" name="Review Queue" sheetId="3" state="visible" r:id="rId3"/>
    <sheet xmlns:r="http://schemas.openxmlformats.org/officeDocument/2006/relationships" name="By Section" sheetId="4" state="visible" r:id="rId4"/>
    <sheet xmlns:r="http://schemas.openxmlformats.org/officeDocument/2006/relationships" name="Legend" sheetId="5" state="visible" r:id="rId5"/>
  </sheets>
  <definedNames>
    <definedName name="_xlnm._FilterDatabase" localSheetId="0" hidden="1">'Register'!$A$4:$T$247</definedName>
    <definedName name="_xlnm.Print_Titles" localSheetId="0">'Register'!$4:$4</definedName>
    <definedName name="_xlnm.Print_Area" localSheetId="0">'Register'!$A$1:$P$247</definedName>
  </definedNames>
  <calcPr calcId="124519" fullCalcOnLoad="1"/>
</workbook>
</file>

<file path=xl/styles.xml><?xml version="1.0" encoding="utf-8"?>
<styleSheet xmlns="http://schemas.openxmlformats.org/spreadsheetml/2006/main">
  <numFmts count="2">
    <numFmt numFmtId="164" formatCode="mm/dd/yyyy"/>
    <numFmt numFmtId="165" formatCode="0;[Red]-0"/>
  </numFmts>
  <fonts count="8">
    <font>
      <name val="Calibri"/>
      <family val="2"/>
      <color theme="1"/>
      <sz val="11"/>
      <scheme val="minor"/>
    </font>
    <font>
      <name val="Arial"/>
      <b val="1"/>
      <color rgb="00000000"/>
      <sz val="14"/>
    </font>
    <font>
      <name val="Arial"/>
      <i val="1"/>
      <color rgb="00595959"/>
      <sz val="10"/>
    </font>
    <font>
      <name val="Arial"/>
      <b val="1"/>
      <color rgb="00000000"/>
      <sz val="10"/>
    </font>
    <font>
      <name val="Arial"/>
      <color rgb="00000000"/>
      <sz val="10"/>
    </font>
    <font>
      <name val="Arial"/>
      <color rgb="000000FF"/>
      <sz val="10"/>
    </font>
    <font>
      <name val="Arial"/>
      <b val="1"/>
      <color rgb="00FFFFFF"/>
      <sz val="10"/>
    </font>
    <font>
      <name val="Arial"/>
      <color rgb="00008000"/>
      <sz val="10"/>
    </font>
  </fonts>
  <fills count="5">
    <fill>
      <patternFill/>
    </fill>
    <fill>
      <patternFill patternType="gray125"/>
    </fill>
    <fill>
      <patternFill patternType="solid">
        <fgColor rgb="00FFF2CC"/>
      </patternFill>
    </fill>
    <fill>
      <patternFill patternType="solid">
        <fgColor rgb="001F3864"/>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6" fillId="3" borderId="1" applyAlignment="1" pivotButton="0" quotePrefix="0" xfId="0">
      <alignment horizontal="center" vertical="center" wrapText="1"/>
    </xf>
    <xf numFmtId="0" fontId="4" fillId="0" borderId="1" applyAlignment="1" pivotButton="0" quotePrefix="0" xfId="0">
      <alignment vertical="top"/>
    </xf>
    <xf numFmtId="0" fontId="4" fillId="0" borderId="1" applyAlignment="1" pivotButton="0" quotePrefix="0" xfId="0">
      <alignment vertical="top" wrapText="1"/>
    </xf>
    <xf numFmtId="164" fontId="4" fillId="2" borderId="1" applyAlignment="1" pivotButton="0" quotePrefix="0" xfId="0">
      <alignment vertical="top"/>
    </xf>
    <xf numFmtId="0" fontId="4" fillId="2" borderId="1" applyAlignment="1" pivotButton="0" quotePrefix="0" xfId="0">
      <alignment vertical="top"/>
    </xf>
    <xf numFmtId="0" fontId="7" fillId="0" borderId="1" applyAlignment="1" pivotButton="0" quotePrefix="0" xfId="0">
      <alignment vertical="top"/>
    </xf>
    <xf numFmtId="164" fontId="4" fillId="0" borderId="1" applyAlignment="1" pivotButton="0" quotePrefix="0" xfId="0">
      <alignment vertical="top"/>
    </xf>
    <xf numFmtId="165" fontId="4" fillId="0" borderId="1" applyAlignment="1" pivotButton="0" quotePrefix="0" xfId="0">
      <alignment vertical="top"/>
    </xf>
    <xf numFmtId="0" fontId="4" fillId="2" borderId="1" applyAlignment="1" pivotButton="0" quotePrefix="0" xfId="0">
      <alignment vertical="top" wrapText="1"/>
    </xf>
    <xf numFmtId="0" fontId="4" fillId="4" borderId="1" applyAlignment="1" pivotButton="0" quotePrefix="0" xfId="0">
      <alignment vertical="top"/>
    </xf>
    <xf numFmtId="0" fontId="4" fillId="4" borderId="1" applyAlignment="1" pivotButton="0" quotePrefix="0" xfId="0">
      <alignment vertical="top" wrapText="1"/>
    </xf>
    <xf numFmtId="0" fontId="3" fillId="0" borderId="0" pivotButton="0" quotePrefix="0" xfId="0"/>
    <xf numFmtId="0" fontId="5" fillId="2" borderId="1" applyAlignment="1" pivotButton="0" quotePrefix="0" xfId="0">
      <alignment vertical="top" wrapText="1"/>
    </xf>
    <xf numFmtId="0" fontId="4" fillId="0" borderId="0" pivotButton="0" quotePrefix="0" xfId="0"/>
    <xf numFmtId="0" fontId="4" fillId="0" borderId="0" applyAlignment="1" pivotButton="0" quotePrefix="0" xfId="0">
      <alignment vertical="top" wrapText="1"/>
    </xf>
    <xf numFmtId="0" fontId="4" fillId="0" borderId="1" pivotButton="0" quotePrefix="0" xfId="0"/>
    <xf numFmtId="0" fontId="3" fillId="0" borderId="1" pivotButton="0" quotePrefix="0" xfId="0"/>
    <xf numFmtId="0" fontId="0" fillId="2" borderId="0" pivotButton="0" quotePrefix="0" xfId="0"/>
    <xf numFmtId="0" fontId="0" fillId="4" borderId="0" pivotButton="0" quotePrefix="0" xfId="0"/>
  </cellXfs>
  <cellStyles count="1">
    <cellStyle name="Normal" xfId="0" builtinId="0" hidden="0"/>
  </cellStyles>
  <dxfs count="3">
    <dxf>
      <fill>
        <patternFill patternType="solid">
          <fgColor rgb="00E2EFDA"/>
          <bgColor rgb="00E2EFDA"/>
        </patternFill>
      </fill>
    </dxf>
    <dxf>
      <fill>
        <patternFill patternType="solid">
          <fgColor rgb="00F8CBAD"/>
          <bgColor rgb="00F8CBAD"/>
        </patternFill>
      </fill>
    </dxf>
    <dxf>
      <fill>
        <patternFill patternType="solid">
          <fgColor rgb="00DDEBF7"/>
          <bgColor rgb="00DDEBF7"/>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T247"/>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14" customWidth="1" min="1" max="1"/>
    <col width="5" customWidth="1" min="2" max="2"/>
    <col width="58" customWidth="1" min="3" max="3"/>
    <col width="12" customWidth="1" min="4" max="4"/>
    <col width="26" customWidth="1" min="5" max="5"/>
    <col width="11" customWidth="1" min="6" max="6"/>
    <col width="14" customWidth="1" min="7" max="7"/>
    <col width="12" customWidth="1" min="8" max="8"/>
    <col width="10" customWidth="1" min="9" max="9"/>
    <col width="9" customWidth="1" min="10" max="10"/>
    <col width="9" customWidth="1" min="11" max="11"/>
    <col width="12" customWidth="1" min="12" max="12"/>
    <col width="12" customWidth="1" min="13" max="13"/>
    <col width="12" customWidth="1" min="14" max="14"/>
    <col width="12" customWidth="1" min="15" max="15"/>
    <col width="17" customWidth="1" min="16" max="16"/>
    <col width="9" customWidth="1" min="17" max="17"/>
    <col width="22" customWidth="1" min="18" max="18"/>
    <col width="34" customWidth="1" min="19" max="19"/>
    <col width="60" customWidth="1" min="20" max="20"/>
  </cols>
  <sheetData>
    <row r="1">
      <c r="A1" s="1" t="inlineStr">
        <is>
          <t>Radiology Room E.D. Vol B - Submittal Register</t>
        </is>
      </c>
    </row>
    <row r="2">
      <c r="A2" s="2" t="inlineStr">
        <is>
          <t>Yellow cells are inputs. Required Approval = Install Date - Lead Time. Required Submit = Install Date - (Lead + Review + Prep). Orange rows need a human decision (see Review Queue).</t>
        </is>
      </c>
    </row>
    <row r="4" ht="32" customHeight="1">
      <c r="A4" s="3" t="inlineStr">
        <is>
          <t>Sub #</t>
        </is>
      </c>
      <c r="B4" s="3" t="inlineStr">
        <is>
          <t>Rev</t>
        </is>
      </c>
      <c r="C4" s="3" t="inlineStr">
        <is>
          <t>Description</t>
        </is>
      </c>
      <c r="D4" s="3" t="inlineStr">
        <is>
          <t>Spec Section</t>
        </is>
      </c>
      <c r="E4" s="3" t="inlineStr">
        <is>
          <t>Section Title</t>
        </is>
      </c>
      <c r="F4" s="3" t="inlineStr">
        <is>
          <t>Type</t>
        </is>
      </c>
      <c r="G4" s="3" t="inlineStr">
        <is>
          <t>Spec Ref</t>
        </is>
      </c>
      <c r="H4" s="3" t="inlineStr">
        <is>
          <t>Install Date</t>
        </is>
      </c>
      <c r="I4" s="3" t="inlineStr">
        <is>
          <t>Lead Time (wk)</t>
        </is>
      </c>
      <c r="J4" s="3" t="inlineStr">
        <is>
          <t>Review (wk)</t>
        </is>
      </c>
      <c r="K4" s="3" t="inlineStr">
        <is>
          <t>Prep (wk)</t>
        </is>
      </c>
      <c r="L4" s="3" t="inlineStr">
        <is>
          <t>Required Approval</t>
        </is>
      </c>
      <c r="M4" s="3" t="inlineStr">
        <is>
          <t>Required Submit</t>
        </is>
      </c>
      <c r="N4" s="3" t="inlineStr">
        <is>
          <t>Actual Submit</t>
        </is>
      </c>
      <c r="O4" s="3" t="inlineStr">
        <is>
          <t>Approval Date</t>
        </is>
      </c>
      <c r="P4" s="3" t="inlineStr">
        <is>
          <t>Status</t>
        </is>
      </c>
      <c r="Q4" s="3" t="inlineStr">
        <is>
          <t>Days to Due</t>
        </is>
      </c>
      <c r="R4" s="3" t="inlineStr">
        <is>
          <t>Origin</t>
        </is>
      </c>
      <c r="S4" s="3" t="inlineStr">
        <is>
          <t>Notes</t>
        </is>
      </c>
      <c r="T4" s="3" t="inlineStr">
        <is>
          <t>Spec Text</t>
        </is>
      </c>
    </row>
    <row r="5">
      <c r="A5" s="4" t="inlineStr">
        <is>
          <t>012100.01</t>
        </is>
      </c>
      <c r="B5" s="4" t="n">
        <v>0</v>
      </c>
      <c r="C5" s="5" t="inlineStr">
        <is>
          <t>Submit proposals for purchase of products or systems included in allowances in the form specified for Change Orders.</t>
        </is>
      </c>
      <c r="D5" s="4" t="inlineStr">
        <is>
          <t>01 21 00</t>
        </is>
      </c>
      <c r="E5" s="5" t="inlineStr">
        <is>
          <t>Allowances</t>
        </is>
      </c>
      <c r="F5" s="4" t="inlineStr">
        <is>
          <t>REPORT</t>
        </is>
      </c>
      <c r="G5" s="4" t="inlineStr">
        <is>
          <t>1.4.A p.18</t>
        </is>
      </c>
      <c r="H5" s="6" t="n"/>
      <c r="I5" s="7" t="inlineStr"/>
      <c r="J5" s="8">
        <f>'Project Rules'!$B$5</f>
        <v/>
      </c>
      <c r="K5" s="8">
        <f>'Project Rules'!$B$6</f>
        <v/>
      </c>
      <c r="L5" s="9">
        <f>IF(OR(H5="",I5=""),"",H5-7*I5)</f>
        <v/>
      </c>
      <c r="M5" s="9">
        <f>IF(OR(H5="",I5=""),"",H5-7*(I5+J5+K5))</f>
        <v/>
      </c>
      <c r="N5" s="6" t="n"/>
      <c r="O5" s="6" t="n"/>
      <c r="P5" s="7" t="inlineStr">
        <is>
          <t>Not Started</t>
        </is>
      </c>
      <c r="Q5" s="10">
        <f>IF(OR(M5="",P5="Approved",P5="Approved as Noted"),"",M5-TODAY())</f>
        <v/>
      </c>
      <c r="R5" s="4" t="inlineStr">
        <is>
          <t>Spec article</t>
        </is>
      </c>
      <c r="S5" s="11" t="inlineStr"/>
      <c r="T5" s="4" t="inlineStr">
        <is>
          <t>Submit proposals for purchase of products or systems included in allowances in the form specified for Change Orders.</t>
        </is>
      </c>
    </row>
    <row r="6">
      <c r="A6" s="4" t="inlineStr">
        <is>
          <t>012100.02</t>
        </is>
      </c>
      <c r="B6" s="4" t="n">
        <v>0</v>
      </c>
      <c r="C6" s="5" t="inlineStr">
        <is>
          <t>Invoices or delivery slips showing actual quantities of allowance materials delivered</t>
        </is>
      </c>
      <c r="D6" s="4" t="inlineStr">
        <is>
          <t>01 21 00</t>
        </is>
      </c>
      <c r="E6" s="5" t="inlineStr">
        <is>
          <t>Allowances</t>
        </is>
      </c>
      <c r="F6" s="4" t="inlineStr">
        <is>
          <t>REPORT</t>
        </is>
      </c>
      <c r="G6" s="4" t="inlineStr">
        <is>
          <t>1.5.A p.18</t>
        </is>
      </c>
      <c r="H6" s="6" t="n"/>
      <c r="I6" s="7" t="inlineStr"/>
      <c r="J6" s="8">
        <f>'Project Rules'!$B$5</f>
        <v/>
      </c>
      <c r="K6" s="8">
        <f>'Project Rules'!$B$6</f>
        <v/>
      </c>
      <c r="L6" s="9">
        <f>IF(OR(H6="",I6=""),"",H6-7*I6)</f>
        <v/>
      </c>
      <c r="M6" s="9">
        <f>IF(OR(H6="",I6=""),"",H6-7*(I6+J6+K6))</f>
        <v/>
      </c>
      <c r="N6" s="6" t="n"/>
      <c r="O6" s="6" t="n"/>
      <c r="P6" s="7" t="inlineStr">
        <is>
          <t>Not Started</t>
        </is>
      </c>
      <c r="Q6" s="10">
        <f>IF(OR(M6="",P6="Approved",P6="Approved as Noted"),"",M6-TODAY())</f>
        <v/>
      </c>
      <c r="R6" s="4" t="inlineStr">
        <is>
          <t>Spec article</t>
        </is>
      </c>
      <c r="S6" s="11" t="inlineStr"/>
      <c r="T6" s="4" t="inlineStr">
        <is>
          <t>Submit invoices or delivery slips to show actual quantities of materials delivered to the site for use in fulfillment of each allowance.</t>
        </is>
      </c>
    </row>
    <row r="7">
      <c r="A7" s="4" t="inlineStr">
        <is>
          <t>012100.03</t>
        </is>
      </c>
      <c r="B7" s="4" t="n">
        <v>0</v>
      </c>
      <c r="C7" s="5" t="inlineStr">
        <is>
          <t>Time sheets and documentation of labor time and cost for allowance installation</t>
        </is>
      </c>
      <c r="D7" s="4" t="inlineStr">
        <is>
          <t>01 21 00</t>
        </is>
      </c>
      <c r="E7" s="5" t="inlineStr">
        <is>
          <t>Allowances</t>
        </is>
      </c>
      <c r="F7" s="4" t="inlineStr">
        <is>
          <t>REPORT</t>
        </is>
      </c>
      <c r="G7" s="4" t="inlineStr">
        <is>
          <t>1.5.B p.18</t>
        </is>
      </c>
      <c r="H7" s="6" t="n"/>
      <c r="I7" s="7" t="inlineStr"/>
      <c r="J7" s="8">
        <f>'Project Rules'!$B$5</f>
        <v/>
      </c>
      <c r="K7" s="8">
        <f>'Project Rules'!$B$6</f>
        <v/>
      </c>
      <c r="L7" s="9">
        <f>IF(OR(H7="",I7=""),"",H7-7*I7)</f>
        <v/>
      </c>
      <c r="M7" s="9">
        <f>IF(OR(H7="",I7=""),"",H7-7*(I7+J7+K7))</f>
        <v/>
      </c>
      <c r="N7" s="6" t="n"/>
      <c r="O7" s="6" t="n"/>
      <c r="P7" s="7" t="inlineStr">
        <is>
          <t>Not Started</t>
        </is>
      </c>
      <c r="Q7" s="10">
        <f>IF(OR(M7="",P7="Approved",P7="Approved as Noted"),"",M7-TODAY())</f>
        <v/>
      </c>
      <c r="R7" s="4" t="inlineStr">
        <is>
          <t>Spec article</t>
        </is>
      </c>
      <c r="S7" s="11" t="inlineStr"/>
      <c r="T7" s="4" t="inlineStr">
        <is>
          <t>Submit time sheets and other documentation to show labor time and cost for installation of allowance items that include installation as part of the allowance.</t>
        </is>
      </c>
    </row>
    <row r="8">
      <c r="A8" s="4" t="inlineStr">
        <is>
          <t>012900.01</t>
        </is>
      </c>
      <c r="B8" s="4" t="n">
        <v>0</v>
      </c>
      <c r="C8" s="5" t="inlineStr">
        <is>
          <t>Schedule of values (AIA G703 format, one line per spec section)</t>
        </is>
      </c>
      <c r="D8" s="4" t="inlineStr">
        <is>
          <t>01 29 00</t>
        </is>
      </c>
      <c r="E8" s="5" t="inlineStr">
        <is>
          <t>Payment Procedures</t>
        </is>
      </c>
      <c r="F8" s="4" t="inlineStr">
        <is>
          <t>SCHED</t>
        </is>
      </c>
      <c r="G8" s="4" t="inlineStr">
        <is>
          <t>1.3.A.2 p.28</t>
        </is>
      </c>
      <c r="H8" s="6" t="n"/>
      <c r="I8" s="7" t="inlineStr"/>
      <c r="J8" s="8">
        <f>'Project Rules'!$B$5</f>
        <v/>
      </c>
      <c r="K8" s="8">
        <f>'Project Rules'!$B$6</f>
        <v/>
      </c>
      <c r="L8" s="9">
        <f>IF(OR(H8="",I8=""),"",H8-7*I8)</f>
        <v/>
      </c>
      <c r="M8" s="9">
        <f>IF(OR(H8="",I8=""),"",H8-7*(I8+J8+K8))</f>
        <v/>
      </c>
      <c r="N8" s="6" t="n"/>
      <c r="O8" s="6" t="n"/>
      <c r="P8" s="7" t="inlineStr">
        <is>
          <t>Not Started</t>
        </is>
      </c>
      <c r="Q8" s="10">
        <f>IF(OR(M8="",P8="Approved",P8="Approved as Noted"),"",M8-TODAY())</f>
        <v/>
      </c>
      <c r="R8" s="4" t="inlineStr">
        <is>
          <t>Added by Claude</t>
        </is>
      </c>
      <c r="S8" s="11" t="inlineStr">
        <is>
          <t>Due 7 days before the first Application for Payment</t>
        </is>
      </c>
      <c r="T8" s="4" t="inlineStr">
        <is>
          <t>Submit the schedule of values to Architect at earliest possible date, but no later than seven days before the date scheduled for submittal of initial Applications for Payment.</t>
        </is>
      </c>
    </row>
    <row r="9">
      <c r="A9" s="4" t="inlineStr">
        <is>
          <t>012900.02</t>
        </is>
      </c>
      <c r="B9" s="4" t="n">
        <v>0</v>
      </c>
      <c r="C9" s="5" t="inlineStr">
        <is>
          <t>Draft Application for Payment (7 days before due date)</t>
        </is>
      </c>
      <c r="D9" s="4" t="inlineStr">
        <is>
          <t>01 29 00</t>
        </is>
      </c>
      <c r="E9" s="5" t="inlineStr">
        <is>
          <t>Payment Procedures</t>
        </is>
      </c>
      <c r="F9" s="4" t="inlineStr">
        <is>
          <t>REPORT</t>
        </is>
      </c>
      <c r="G9" s="4" t="inlineStr">
        <is>
          <t>1.4.A.1 p.28</t>
        </is>
      </c>
      <c r="H9" s="6" t="n"/>
      <c r="I9" s="7" t="inlineStr"/>
      <c r="J9" s="8">
        <f>'Project Rules'!$B$5</f>
        <v/>
      </c>
      <c r="K9" s="8">
        <f>'Project Rules'!$B$6</f>
        <v/>
      </c>
      <c r="L9" s="9">
        <f>IF(OR(H9="",I9=""),"",H9-7*I9)</f>
        <v/>
      </c>
      <c r="M9" s="9">
        <f>IF(OR(H9="",I9=""),"",H9-7*(I9+J9+K9))</f>
        <v/>
      </c>
      <c r="N9" s="6" t="n"/>
      <c r="O9" s="6" t="n"/>
      <c r="P9" s="7" t="inlineStr">
        <is>
          <t>Not Started</t>
        </is>
      </c>
      <c r="Q9" s="10">
        <f>IF(OR(M9="",P9="Approved",P9="Approved as Noted"),"",M9-TODAY())</f>
        <v/>
      </c>
      <c r="R9" s="4" t="inlineStr">
        <is>
          <t>Added by Claude</t>
        </is>
      </c>
      <c r="S9" s="11" t="inlineStr">
        <is>
          <t>Recurring, monthly</t>
        </is>
      </c>
      <c r="T9" s="4" t="inlineStr">
        <is>
          <t>Submit draft copy of Application for Payment seven days prior to due date for review by Architect.</t>
        </is>
      </c>
    </row>
    <row r="10">
      <c r="A10" s="4" t="inlineStr">
        <is>
          <t>012900.03</t>
        </is>
      </c>
      <c r="B10" s="4" t="n">
        <v>0</v>
      </c>
      <c r="C10" s="5" t="inlineStr">
        <is>
          <t>Applications for Payment (three signed and notarized PDF copies, by email)</t>
        </is>
      </c>
      <c r="D10" s="4" t="inlineStr">
        <is>
          <t>01 29 00</t>
        </is>
      </c>
      <c r="E10" s="5" t="inlineStr">
        <is>
          <t>Payment Procedures</t>
        </is>
      </c>
      <c r="F10" s="4" t="inlineStr">
        <is>
          <t>REPORT</t>
        </is>
      </c>
      <c r="G10" s="4" t="inlineStr">
        <is>
          <t>1.4.F p.29</t>
        </is>
      </c>
      <c r="H10" s="6" t="n"/>
      <c r="I10" s="7" t="inlineStr"/>
      <c r="J10" s="8">
        <f>'Project Rules'!$B$5</f>
        <v/>
      </c>
      <c r="K10" s="8">
        <f>'Project Rules'!$B$6</f>
        <v/>
      </c>
      <c r="L10" s="9">
        <f>IF(OR(H10="",I10=""),"",H10-7*I10)</f>
        <v/>
      </c>
      <c r="M10" s="9">
        <f>IF(OR(H10="",I10=""),"",H10-7*(I10+J10+K10))</f>
        <v/>
      </c>
      <c r="N10" s="6" t="n"/>
      <c r="O10" s="6" t="n"/>
      <c r="P10" s="7" t="inlineStr">
        <is>
          <t>Not Started</t>
        </is>
      </c>
      <c r="Q10" s="10">
        <f>IF(OR(M10="",P10="Approved",P10="Approved as Noted"),"",M10-TODAY())</f>
        <v/>
      </c>
      <c r="R10" s="4" t="inlineStr">
        <is>
          <t>Added by Claude</t>
        </is>
      </c>
      <c r="S10" s="11" t="inlineStr">
        <is>
          <t>Recurring, monthly</t>
        </is>
      </c>
      <c r="T10" s="4" t="inlineStr">
        <is>
          <t>Submit three signed and notarized PDF copies of each Application for Payment to Architect by email.</t>
        </is>
      </c>
    </row>
    <row r="11">
      <c r="A11" s="4" t="inlineStr">
        <is>
          <t>012900.04</t>
        </is>
      </c>
      <c r="B11" s="4" t="n">
        <v>0</v>
      </c>
      <c r="C11" s="5" t="inlineStr">
        <is>
          <t>Waivers of mechanic's lien (partial with each application, conditional final at completion)</t>
        </is>
      </c>
      <c r="D11" s="4" t="inlineStr">
        <is>
          <t>01 29 00</t>
        </is>
      </c>
      <c r="E11" s="5" t="inlineStr">
        <is>
          <t>Payment Procedures</t>
        </is>
      </c>
      <c r="F11" s="4" t="inlineStr">
        <is>
          <t>CERT</t>
        </is>
      </c>
      <c r="G11" s="4" t="inlineStr">
        <is>
          <t>1.4.G p.29</t>
        </is>
      </c>
      <c r="H11" s="6" t="n"/>
      <c r="I11" s="7" t="inlineStr"/>
      <c r="J11" s="8">
        <f>'Project Rules'!$B$5</f>
        <v/>
      </c>
      <c r="K11" s="8">
        <f>'Project Rules'!$B$6</f>
        <v/>
      </c>
      <c r="L11" s="9">
        <f>IF(OR(H11="",I11=""),"",H11-7*I11)</f>
        <v/>
      </c>
      <c r="M11" s="9">
        <f>IF(OR(H11="",I11=""),"",H11-7*(I11+J11+K11))</f>
        <v/>
      </c>
      <c r="N11" s="6" t="n"/>
      <c r="O11" s="6" t="n"/>
      <c r="P11" s="7" t="inlineStr">
        <is>
          <t>Not Started</t>
        </is>
      </c>
      <c r="Q11" s="10">
        <f>IF(OR(M11="",P11="Approved",P11="Approved as Noted"),"",M11-TODAY())</f>
        <v/>
      </c>
      <c r="R11" s="4" t="inlineStr">
        <is>
          <t>Added by Claude</t>
        </is>
      </c>
      <c r="S11" s="11" t="inlineStr">
        <is>
          <t>Recurring, with every Application for Payment</t>
        </is>
      </c>
      <c r="T11" s="4" t="inlineStr">
        <is>
          <t>With each Application for Payment, submit waivers of mechanic's lien from entities lawfully entitled to file a lien.</t>
        </is>
      </c>
    </row>
    <row r="12">
      <c r="A12" s="4" t="inlineStr">
        <is>
          <t>012900.05</t>
        </is>
      </c>
      <c r="B12" s="4" t="n">
        <v>0</v>
      </c>
      <c r="C12" s="5" t="inlineStr">
        <is>
          <t>Initial Application for Payment package: subcontractor list, products list, staff and consultant lists</t>
        </is>
      </c>
      <c r="D12" s="4" t="inlineStr">
        <is>
          <t>01 29 00</t>
        </is>
      </c>
      <c r="E12" s="5" t="inlineStr">
        <is>
          <t>Payment Procedures</t>
        </is>
      </c>
      <c r="F12" s="4" t="inlineStr">
        <is>
          <t>REPORT</t>
        </is>
      </c>
      <c r="G12" s="4" t="inlineStr">
        <is>
          <t>1.4.H p.28</t>
        </is>
      </c>
      <c r="H12" s="6" t="n"/>
      <c r="I12" s="7" t="inlineStr"/>
      <c r="J12" s="8">
        <f>'Project Rules'!$B$5</f>
        <v/>
      </c>
      <c r="K12" s="8">
        <f>'Project Rules'!$B$6</f>
        <v/>
      </c>
      <c r="L12" s="9">
        <f>IF(OR(H12="",I12=""),"",H12-7*I12)</f>
        <v/>
      </c>
      <c r="M12" s="9">
        <f>IF(OR(H12="",I12=""),"",H12-7*(I12+J12+K12))</f>
        <v/>
      </c>
      <c r="N12" s="6" t="n"/>
      <c r="O12" s="6" t="n"/>
      <c r="P12" s="7" t="inlineStr">
        <is>
          <t>Not Started</t>
        </is>
      </c>
      <c r="Q12" s="10">
        <f>IF(OR(M12="",P12="Approved",P12="Approved as Noted"),"",M12-TODAY())</f>
        <v/>
      </c>
      <c r="R12" s="4" t="inlineStr">
        <is>
          <t>Added by Claude</t>
        </is>
      </c>
      <c r="S12" s="11" t="inlineStr">
        <is>
          <t>Due with the first Application for Payment</t>
        </is>
      </c>
      <c r="T12" s="4" t="inlineStr">
        <is>
          <t>Initial Application for Payment: list of subcontractors, schedule of values, Contractor's construction schedule, products list, submittal schedule, list of staff assignments, list of principal consultants.</t>
        </is>
      </c>
    </row>
    <row r="13">
      <c r="A13" s="4" t="inlineStr">
        <is>
          <t>012900.06</t>
        </is>
      </c>
      <c r="B13" s="4" t="n">
        <v>0</v>
      </c>
      <c r="C13" s="5" t="inlineStr">
        <is>
          <t>Building permits, authorizations and licenses from authorities having jurisdiction</t>
        </is>
      </c>
      <c r="D13" s="4" t="inlineStr">
        <is>
          <t>01 29 00</t>
        </is>
      </c>
      <c r="E13" s="5" t="inlineStr">
        <is>
          <t>Payment Procedures</t>
        </is>
      </c>
      <c r="F13" s="4" t="inlineStr">
        <is>
          <t>CERT</t>
        </is>
      </c>
      <c r="G13" s="4" t="inlineStr">
        <is>
          <t>1.4.H.8-9 p.29</t>
        </is>
      </c>
      <c r="H13" s="6" t="n"/>
      <c r="I13" s="7" t="inlineStr"/>
      <c r="J13" s="8">
        <f>'Project Rules'!$B$5</f>
        <v/>
      </c>
      <c r="K13" s="8">
        <f>'Project Rules'!$B$6</f>
        <v/>
      </c>
      <c r="L13" s="9">
        <f>IF(OR(H13="",I13=""),"",H13-7*I13)</f>
        <v/>
      </c>
      <c r="M13" s="9">
        <f>IF(OR(H13="",I13=""),"",H13-7*(I13+J13+K13))</f>
        <v/>
      </c>
      <c r="N13" s="6" t="n"/>
      <c r="O13" s="6" t="n"/>
      <c r="P13" s="7" t="inlineStr">
        <is>
          <t>Not Started</t>
        </is>
      </c>
      <c r="Q13" s="10">
        <f>IF(OR(M13="",P13="Approved",P13="Approved as Noted"),"",M13-TODAY())</f>
        <v/>
      </c>
      <c r="R13" s="4" t="inlineStr">
        <is>
          <t>Added by Claude</t>
        </is>
      </c>
      <c r="S13" s="11" t="inlineStr">
        <is>
          <t>Due with the first Application for Payment</t>
        </is>
      </c>
      <c r="T13" s="4" t="inlineStr">
        <is>
          <t>Initial Application for Payment: copies of building permits; copies of authorizations and licenses from authorities having jurisdiction.</t>
        </is>
      </c>
    </row>
    <row r="14">
      <c r="A14" s="4" t="inlineStr">
        <is>
          <t>013100.01</t>
        </is>
      </c>
      <c r="B14" s="4" t="n">
        <v>0</v>
      </c>
      <c r="C14" s="5" t="inlineStr">
        <is>
          <t>Subcontract List: Prepare a written summary identifying individuals or firms proposed for each portion of the Work, including those who are to furnish products or...</t>
        </is>
      </c>
      <c r="D14" s="4" t="inlineStr">
        <is>
          <t>01 31 00</t>
        </is>
      </c>
      <c r="E14" s="5" t="inlineStr">
        <is>
          <t>Project Management And Coordination</t>
        </is>
      </c>
      <c r="F14" s="4" t="inlineStr">
        <is>
          <t>REPORT</t>
        </is>
      </c>
      <c r="G14" s="4" t="inlineStr">
        <is>
          <t>1.3.A p.31</t>
        </is>
      </c>
      <c r="H14" s="6" t="n"/>
      <c r="I14" s="7" t="inlineStr"/>
      <c r="J14" s="8">
        <f>'Project Rules'!$B$5</f>
        <v/>
      </c>
      <c r="K14" s="8">
        <f>'Project Rules'!$B$6</f>
        <v/>
      </c>
      <c r="L14" s="9">
        <f>IF(OR(H14="",I14=""),"",H14-7*I14)</f>
        <v/>
      </c>
      <c r="M14" s="9">
        <f>IF(OR(H14="",I14=""),"",H14-7*(I14+J14+K14))</f>
        <v/>
      </c>
      <c r="N14" s="6" t="n"/>
      <c r="O14" s="6" t="n"/>
      <c r="P14" s="7" t="inlineStr">
        <is>
          <t>Not Started</t>
        </is>
      </c>
      <c r="Q14" s="10">
        <f>IF(OR(M14="",P14="Approved",P14="Approved as Noted"),"",M14-TODAY())</f>
        <v/>
      </c>
      <c r="R14" s="4" t="inlineStr">
        <is>
          <t>Spec article</t>
        </is>
      </c>
      <c r="S14" s="11" t="inlineStr"/>
      <c r="T14" s="4" t="inlineStr">
        <is>
          <t>Subcontract List: Prepare a written summary identifying individuals or firms proposed for each portion of the Work, including those who are to furnish products or equipment fabricated to a special design. Include the following information in tabular form: 1. Name, address, telephone number, and email address of entity performing subcontract or supplying products. 2. Number and title of related Specification Section(s) covered by subcontract. 3. Drawing number and detail references, as appropriate, covered by subcontract.</t>
        </is>
      </c>
    </row>
    <row r="15">
      <c r="A15" s="4" t="inlineStr">
        <is>
          <t>013100.02</t>
        </is>
      </c>
      <c r="B15" s="4" t="n">
        <v>0</v>
      </c>
      <c r="C15" s="5" t="inlineStr">
        <is>
          <t>Key Personnel Names: 15 days prior to starting construction operations, submit a list of key personnel assignments, including superintendent and other personnel in...</t>
        </is>
      </c>
      <c r="D15" s="4" t="inlineStr">
        <is>
          <t>01 31 00</t>
        </is>
      </c>
      <c r="E15" s="5" t="inlineStr">
        <is>
          <t>Project Management And Coordination</t>
        </is>
      </c>
      <c r="F15" s="4" t="inlineStr">
        <is>
          <t>REPORT</t>
        </is>
      </c>
      <c r="G15" s="4" t="inlineStr">
        <is>
          <t>1.3.B p.31</t>
        </is>
      </c>
      <c r="H15" s="6" t="n"/>
      <c r="I15" s="7" t="inlineStr"/>
      <c r="J15" s="8">
        <f>'Project Rules'!$B$5</f>
        <v/>
      </c>
      <c r="K15" s="8">
        <f>'Project Rules'!$B$6</f>
        <v/>
      </c>
      <c r="L15" s="9">
        <f>IF(OR(H15="",I15=""),"",H15-7*I15)</f>
        <v/>
      </c>
      <c r="M15" s="9">
        <f>IF(OR(H15="",I15=""),"",H15-7*(I15+J15+K15))</f>
        <v/>
      </c>
      <c r="N15" s="6" t="n"/>
      <c r="O15" s="6" t="n"/>
      <c r="P15" s="7" t="inlineStr">
        <is>
          <t>Not Started</t>
        </is>
      </c>
      <c r="Q15" s="10">
        <f>IF(OR(M15="",P15="Approved",P15="Approved as Noted"),"",M15-TODAY())</f>
        <v/>
      </c>
      <c r="R15" s="4" t="inlineStr">
        <is>
          <t>Spec article</t>
        </is>
      </c>
      <c r="S15" s="11" t="inlineStr"/>
      <c r="T15" s="4" t="inlineStr">
        <is>
          <t>Key Personnel Names: 15 days prior to starting construction operations, submit a list of key personnel assignments, including superintendent and other personnel in attendance at Project site. Identify individuals and their duties and responsibilities; list addresses, cellular telephone numbers, and e-mail addresses. Provide names, addresses, and telephone numbers of individuals assigned as alternates in the absence of individuals assigned to Project. 1. Post copies of list in Project meeting room, in temporary field office, in web-based Project software directory, and in prominent location in built facility. Keep list current at all times.</t>
        </is>
      </c>
    </row>
    <row r="16">
      <c r="A16" s="4" t="inlineStr">
        <is>
          <t>013200.01</t>
        </is>
      </c>
      <c r="B16" s="4" t="n">
        <v>0</v>
      </c>
      <c r="C16" s="5" t="inlineStr">
        <is>
          <t>Construction schedule files: working electronic copy and PDF</t>
        </is>
      </c>
      <c r="D16" s="4" t="inlineStr">
        <is>
          <t>01 32 00</t>
        </is>
      </c>
      <c r="E16" s="5" t="inlineStr">
        <is>
          <t>Construction Progress Documentation</t>
        </is>
      </c>
      <c r="F16" s="4" t="inlineStr">
        <is>
          <t>SCHED</t>
        </is>
      </c>
      <c r="G16" s="4" t="inlineStr">
        <is>
          <t>1.3.A.1 p.38</t>
        </is>
      </c>
      <c r="H16" s="6" t="n"/>
      <c r="I16" s="7" t="inlineStr"/>
      <c r="J16" s="8">
        <f>'Project Rules'!$B$5</f>
        <v/>
      </c>
      <c r="K16" s="8">
        <f>'Project Rules'!$B$6</f>
        <v/>
      </c>
      <c r="L16" s="9">
        <f>IF(OR(H16="",I16=""),"",H16-7*I16)</f>
        <v/>
      </c>
      <c r="M16" s="9">
        <f>IF(OR(H16="",I16=""),"",H16-7*(I16+J16+K16))</f>
        <v/>
      </c>
      <c r="N16" s="6" t="n"/>
      <c r="O16" s="6" t="n"/>
      <c r="P16" s="7" t="inlineStr">
        <is>
          <t>Not Started</t>
        </is>
      </c>
      <c r="Q16" s="10">
        <f>IF(OR(M16="",P16="Approved",P16="Approved as Noted"),"",M16-TODAY())</f>
        <v/>
      </c>
      <c r="R16" s="4" t="inlineStr">
        <is>
          <t>Spec article</t>
        </is>
      </c>
      <c r="S16" s="11" t="inlineStr"/>
      <c r="T16" s="4" t="inlineStr">
        <is>
          <t>Working electronic copy of schedule file.</t>
        </is>
      </c>
    </row>
    <row r="17">
      <c r="A17" s="4" t="inlineStr">
        <is>
          <t>013200.02</t>
        </is>
      </c>
      <c r="B17" s="4" t="n">
        <v>0</v>
      </c>
      <c r="C17" s="5" t="inlineStr">
        <is>
          <t>Startup Network Diagram: Of size required to display entire network for entire construction period.</t>
        </is>
      </c>
      <c r="D17" s="4" t="inlineStr">
        <is>
          <t>01 32 00</t>
        </is>
      </c>
      <c r="E17" s="5" t="inlineStr">
        <is>
          <t>Construction Progress Documentation</t>
        </is>
      </c>
      <c r="F17" s="4" t="inlineStr">
        <is>
          <t>SCHED</t>
        </is>
      </c>
      <c r="G17" s="4" t="inlineStr">
        <is>
          <t>1.3.B p.38</t>
        </is>
      </c>
      <c r="H17" s="6" t="n"/>
      <c r="I17" s="7" t="inlineStr"/>
      <c r="J17" s="8">
        <f>'Project Rules'!$B$5</f>
        <v/>
      </c>
      <c r="K17" s="8">
        <f>'Project Rules'!$B$6</f>
        <v/>
      </c>
      <c r="L17" s="9">
        <f>IF(OR(H17="",I17=""),"",H17-7*I17)</f>
        <v/>
      </c>
      <c r="M17" s="9">
        <f>IF(OR(H17="",I17=""),"",H17-7*(I17+J17+K17))</f>
        <v/>
      </c>
      <c r="N17" s="6" t="n"/>
      <c r="O17" s="6" t="n"/>
      <c r="P17" s="7" t="inlineStr">
        <is>
          <t>Not Started</t>
        </is>
      </c>
      <c r="Q17" s="10">
        <f>IF(OR(M17="",P17="Approved",P17="Approved as Noted"),"",M17-TODAY())</f>
        <v/>
      </c>
      <c r="R17" s="4" t="inlineStr">
        <is>
          <t>Spec article</t>
        </is>
      </c>
      <c r="S17" s="11" t="inlineStr"/>
      <c r="T17" s="4" t="inlineStr">
        <is>
          <t>Startup Network Diagram: Of size required to display entire network for entire construction period. Show logic ties for activities.</t>
        </is>
      </c>
    </row>
    <row r="18">
      <c r="A18" s="4" t="inlineStr">
        <is>
          <t>013200.03</t>
        </is>
      </c>
      <c r="B18" s="4" t="n">
        <v>0</v>
      </c>
      <c r="C18" s="5" t="inlineStr">
        <is>
          <t>Contractor's Construction Schedule: Initial schedule, of size required to display entire schedule for entire construction period.</t>
        </is>
      </c>
      <c r="D18" s="4" t="inlineStr">
        <is>
          <t>01 32 00</t>
        </is>
      </c>
      <c r="E18" s="5" t="inlineStr">
        <is>
          <t>Construction Progress Documentation</t>
        </is>
      </c>
      <c r="F18" s="4" t="inlineStr">
        <is>
          <t>SCHED</t>
        </is>
      </c>
      <c r="G18" s="4" t="inlineStr">
        <is>
          <t>1.3.C p.38</t>
        </is>
      </c>
      <c r="H18" s="6" t="n"/>
      <c r="I18" s="7" t="inlineStr"/>
      <c r="J18" s="8">
        <f>'Project Rules'!$B$5</f>
        <v/>
      </c>
      <c r="K18" s="8">
        <f>'Project Rules'!$B$6</f>
        <v/>
      </c>
      <c r="L18" s="9">
        <f>IF(OR(H18="",I18=""),"",H18-7*I18)</f>
        <v/>
      </c>
      <c r="M18" s="9">
        <f>IF(OR(H18="",I18=""),"",H18-7*(I18+J18+K18))</f>
        <v/>
      </c>
      <c r="N18" s="6" t="n"/>
      <c r="O18" s="6" t="n"/>
      <c r="P18" s="7" t="inlineStr">
        <is>
          <t>Not Started</t>
        </is>
      </c>
      <c r="Q18" s="10">
        <f>IF(OR(M18="",P18="Approved",P18="Approved as Noted"),"",M18-TODAY())</f>
        <v/>
      </c>
      <c r="R18" s="4" t="inlineStr">
        <is>
          <t>Spec article</t>
        </is>
      </c>
      <c r="S18" s="11" t="inlineStr"/>
      <c r="T18" s="4" t="inlineStr">
        <is>
          <t>Contractor's Construction Schedule: Initial schedule, of size required to display entire schedule for entire construction period.</t>
        </is>
      </c>
    </row>
    <row r="19">
      <c r="A19" s="4" t="inlineStr">
        <is>
          <t>013233.01</t>
        </is>
      </c>
      <c r="B19" s="4" t="n">
        <v>0</v>
      </c>
      <c r="C19" s="5" t="inlineStr">
        <is>
          <t>Key Plan: Submit key plan of Project site and building with notation of vantage points marked for location and direction of each photograph and video recording.</t>
        </is>
      </c>
      <c r="D19" s="4" t="inlineStr">
        <is>
          <t>01 32 33</t>
        </is>
      </c>
      <c r="E19" s="5" t="inlineStr">
        <is>
          <t>Photographic Documentation</t>
        </is>
      </c>
      <c r="F19" s="4" t="inlineStr">
        <is>
          <t>REPORT</t>
        </is>
      </c>
      <c r="G19" s="4" t="inlineStr">
        <is>
          <t>1.2.A p.45</t>
        </is>
      </c>
      <c r="H19" s="6" t="n"/>
      <c r="I19" s="7" t="inlineStr"/>
      <c r="J19" s="8">
        <f>'Project Rules'!$B$5</f>
        <v/>
      </c>
      <c r="K19" s="8">
        <f>'Project Rules'!$B$6</f>
        <v/>
      </c>
      <c r="L19" s="9">
        <f>IF(OR(H19="",I19=""),"",H19-7*I19)</f>
        <v/>
      </c>
      <c r="M19" s="9">
        <f>IF(OR(H19="",I19=""),"",H19-7*(I19+J19+K19))</f>
        <v/>
      </c>
      <c r="N19" s="6" t="n"/>
      <c r="O19" s="6" t="n"/>
      <c r="P19" s="7" t="inlineStr">
        <is>
          <t>Not Started</t>
        </is>
      </c>
      <c r="Q19" s="10">
        <f>IF(OR(M19="",P19="Approved",P19="Approved as Noted"),"",M19-TODAY())</f>
        <v/>
      </c>
      <c r="R19" s="4" t="inlineStr">
        <is>
          <t>Spec article</t>
        </is>
      </c>
      <c r="S19" s="11" t="inlineStr"/>
      <c r="T19" s="4" t="inlineStr">
        <is>
          <t>Key Plan: Submit key plan of Project site and building with notation of vantage points marked for location and direction of each photograph and video recording. Indicate elevation or story of construction. Include same information as corresponding photographic documentation.</t>
        </is>
      </c>
    </row>
    <row r="20">
      <c r="A20" s="4" t="inlineStr">
        <is>
          <t>013233.02</t>
        </is>
      </c>
      <c r="B20" s="4" t="n">
        <v>0</v>
      </c>
      <c r="C20" s="5" t="inlineStr">
        <is>
          <t>Digital Photographs: Submit image files within three days of taking photographs.</t>
        </is>
      </c>
      <c r="D20" s="4" t="inlineStr">
        <is>
          <t>01 32 33</t>
        </is>
      </c>
      <c r="E20" s="5" t="inlineStr">
        <is>
          <t>Photographic Documentation</t>
        </is>
      </c>
      <c r="F20" s="4" t="inlineStr">
        <is>
          <t>REPORT</t>
        </is>
      </c>
      <c r="G20" s="4" t="inlineStr">
        <is>
          <t>1.2.B p.45</t>
        </is>
      </c>
      <c r="H20" s="6" t="n"/>
      <c r="I20" s="7" t="inlineStr"/>
      <c r="J20" s="8">
        <f>'Project Rules'!$B$5</f>
        <v/>
      </c>
      <c r="K20" s="8">
        <f>'Project Rules'!$B$6</f>
        <v/>
      </c>
      <c r="L20" s="9">
        <f>IF(OR(H20="",I20=""),"",H20-7*I20)</f>
        <v/>
      </c>
      <c r="M20" s="9">
        <f>IF(OR(H20="",I20=""),"",H20-7*(I20+J20+K20))</f>
        <v/>
      </c>
      <c r="N20" s="6" t="n"/>
      <c r="O20" s="6" t="n"/>
      <c r="P20" s="7" t="inlineStr">
        <is>
          <t>Not Started</t>
        </is>
      </c>
      <c r="Q20" s="10">
        <f>IF(OR(M20="",P20="Approved",P20="Approved as Noted"),"",M20-TODAY())</f>
        <v/>
      </c>
      <c r="R20" s="4" t="inlineStr">
        <is>
          <t>Spec article</t>
        </is>
      </c>
      <c r="S20" s="11" t="inlineStr"/>
      <c r="T20" s="4" t="inlineStr">
        <is>
          <t>Digital Photographs: Submit image files within three days of taking photographs. 1. Submit photos by uploading to web-based Project management software site. Include copy of key plan indicating each photograph's location and direction. 2. Identification: Provide the following information with each image description in file metadata tag: a. Name of Project. b. Name and contact information for photographer. c. Name of Architect. d. Name of Contractor. e. Date photograph was taken. f. Description of location, vantage point, and direction. g. Unique sequential identifier keyed to accompanying key plan.</t>
        </is>
      </c>
    </row>
    <row r="21">
      <c r="A21" s="4" t="inlineStr">
        <is>
          <t>013233.03</t>
        </is>
      </c>
      <c r="B21" s="4" t="n">
        <v>0</v>
      </c>
      <c r="C21" s="5" t="inlineStr">
        <is>
          <t>Submit video recordings by uploading to web-based Project management software site.</t>
        </is>
      </c>
      <c r="D21" s="4" t="inlineStr">
        <is>
          <t>01 32 33</t>
        </is>
      </c>
      <c r="E21" s="5" t="inlineStr">
        <is>
          <t>Photographic Documentation</t>
        </is>
      </c>
      <c r="F21" s="4" t="inlineStr">
        <is>
          <t>REPORT</t>
        </is>
      </c>
      <c r="G21" s="4" t="inlineStr">
        <is>
          <t>1.2.C.1 p.45</t>
        </is>
      </c>
      <c r="H21" s="6" t="n"/>
      <c r="I21" s="7" t="inlineStr"/>
      <c r="J21" s="8">
        <f>'Project Rules'!$B$5</f>
        <v/>
      </c>
      <c r="K21" s="8">
        <f>'Project Rules'!$B$6</f>
        <v/>
      </c>
      <c r="L21" s="9">
        <f>IF(OR(H21="",I21=""),"",H21-7*I21)</f>
        <v/>
      </c>
      <c r="M21" s="9">
        <f>IF(OR(H21="",I21=""),"",H21-7*(I21+J21+K21))</f>
        <v/>
      </c>
      <c r="N21" s="6" t="n"/>
      <c r="O21" s="6" t="n"/>
      <c r="P21" s="7" t="inlineStr">
        <is>
          <t>Not Started</t>
        </is>
      </c>
      <c r="Q21" s="10">
        <f>IF(OR(M21="",P21="Approved",P21="Approved as Noted"),"",M21-TODAY())</f>
        <v/>
      </c>
      <c r="R21" s="4" t="inlineStr">
        <is>
          <t>Spec article</t>
        </is>
      </c>
      <c r="S21" s="11" t="inlineStr"/>
      <c r="T21" s="4" t="inlineStr">
        <is>
          <t>Submit video recordings by uploading to web-based Project management software site. Include copy of key plan indicating each video's location and direction.</t>
        </is>
      </c>
    </row>
    <row r="22">
      <c r="A22" s="4" t="inlineStr">
        <is>
          <t>013233.04</t>
        </is>
      </c>
      <c r="B22" s="4" t="n">
        <v>0</v>
      </c>
      <c r="C22" s="5" t="inlineStr">
        <is>
          <t>Photographer Qualifications: An individual who has been regularly engaged as a professional photographer of construction projects for not less than three years.</t>
        </is>
      </c>
      <c r="D22" s="4" t="inlineStr">
        <is>
          <t>01 32 33</t>
        </is>
      </c>
      <c r="E22" s="5" t="inlineStr">
        <is>
          <t>Photographic Documentation</t>
        </is>
      </c>
      <c r="F22" s="4" t="inlineStr">
        <is>
          <t>REPORT+CERT</t>
        </is>
      </c>
      <c r="G22" s="4" t="inlineStr">
        <is>
          <t>1.2.D p.45</t>
        </is>
      </c>
      <c r="H22" s="6" t="n"/>
      <c r="I22" s="7" t="inlineStr"/>
      <c r="J22" s="8">
        <f>'Project Rules'!$B$5</f>
        <v/>
      </c>
      <c r="K22" s="8">
        <f>'Project Rules'!$B$6</f>
        <v/>
      </c>
      <c r="L22" s="9">
        <f>IF(OR(H22="",I22=""),"",H22-7*I22)</f>
        <v/>
      </c>
      <c r="M22" s="9">
        <f>IF(OR(H22="",I22=""),"",H22-7*(I22+J22+K22))</f>
        <v/>
      </c>
      <c r="N22" s="6" t="n"/>
      <c r="O22" s="6" t="n"/>
      <c r="P22" s="7" t="inlineStr">
        <is>
          <t>Not Started</t>
        </is>
      </c>
      <c r="Q22" s="10">
        <f>IF(OR(M22="",P22="Approved",P22="Approved as Noted"),"",M22-TODAY())</f>
        <v/>
      </c>
      <c r="R22" s="4" t="inlineStr">
        <is>
          <t>Spec article</t>
        </is>
      </c>
      <c r="S22" s="11" t="inlineStr"/>
      <c r="T22" s="4" t="inlineStr">
        <is>
          <t>Photographer Qualifications: An individual who has been regularly engaged as a professional photographer of construction projects for not less than three years.</t>
        </is>
      </c>
    </row>
    <row r="23">
      <c r="A23" s="4" t="inlineStr">
        <is>
          <t>013300.01</t>
        </is>
      </c>
      <c r="B23" s="4" t="n">
        <v>0</v>
      </c>
      <c r="C23" s="5" t="inlineStr">
        <is>
          <t>Submittal schedule: initial (first 60 days, long-lead items) and final</t>
        </is>
      </c>
      <c r="D23" s="4" t="inlineStr">
        <is>
          <t>01 33 00</t>
        </is>
      </c>
      <c r="E23" s="5" t="inlineStr">
        <is>
          <t>Submittal Procedures</t>
        </is>
      </c>
      <c r="F23" s="4" t="inlineStr">
        <is>
          <t>SCHED</t>
        </is>
      </c>
      <c r="G23" s="4" t="inlineStr">
        <is>
          <t>1.3.A p.48</t>
        </is>
      </c>
      <c r="H23" s="6" t="n"/>
      <c r="I23" s="7" t="inlineStr"/>
      <c r="J23" s="8">
        <f>'Project Rules'!$B$5</f>
        <v/>
      </c>
      <c r="K23" s="8">
        <f>'Project Rules'!$B$6</f>
        <v/>
      </c>
      <c r="L23" s="9">
        <f>IF(OR(H23="",I23=""),"",H23-7*I23)</f>
        <v/>
      </c>
      <c r="M23" s="9">
        <f>IF(OR(H23="",I23=""),"",H23-7*(I23+J23+K23))</f>
        <v/>
      </c>
      <c r="N23" s="6" t="n"/>
      <c r="O23" s="6" t="n"/>
      <c r="P23" s="7" t="inlineStr">
        <is>
          <t>Not Started</t>
        </is>
      </c>
      <c r="Q23" s="10">
        <f>IF(OR(M23="",P23="Approved",P23="Approved as Noted"),"",M23-TODAY())</f>
        <v/>
      </c>
      <c r="R23" s="4" t="inlineStr">
        <is>
          <t>Added by Claude</t>
        </is>
      </c>
      <c r="S23" s="11" t="inlineStr">
        <is>
          <t>Initial with startup schedule; final with first complete construction schedule</t>
        </is>
      </c>
      <c r="T23" s="4" t="inlineStr">
        <is>
          <t>Submit, as an action submittal, a list of submittals in chronological order. Initial schedule with the startup construction schedule; final schedule with the first complete construction schedule.</t>
        </is>
      </c>
    </row>
    <row r="24">
      <c r="A24" s="12" t="inlineStr">
        <is>
          <t>013300.02</t>
        </is>
      </c>
      <c r="B24" s="4" t="n">
        <v>0</v>
      </c>
      <c r="C24" s="13" t="inlineStr">
        <is>
          <t>Delegated-design services certification, signed and sealed by the design professional</t>
        </is>
      </c>
      <c r="D24" s="12" t="inlineStr">
        <is>
          <t>01 33 00</t>
        </is>
      </c>
      <c r="E24" s="5" t="inlineStr">
        <is>
          <t>Submittal Procedures</t>
        </is>
      </c>
      <c r="F24" s="12" t="inlineStr">
        <is>
          <t>CERT</t>
        </is>
      </c>
      <c r="G24" s="12" t="inlineStr">
        <is>
          <t>1.7.B p.52</t>
        </is>
      </c>
      <c r="H24" s="6" t="n"/>
      <c r="I24" s="7" t="inlineStr"/>
      <c r="J24" s="8">
        <f>'Project Rules'!$B$5</f>
        <v/>
      </c>
      <c r="K24" s="8">
        <f>'Project Rules'!$B$6</f>
        <v/>
      </c>
      <c r="L24" s="9">
        <f>IF(OR(H24="",I24=""),"",H24-7*I24)</f>
        <v/>
      </c>
      <c r="M24" s="9">
        <f>IF(OR(H24="",I24=""),"",H24-7*(I24+J24+K24))</f>
        <v/>
      </c>
      <c r="N24" s="6" t="n"/>
      <c r="O24" s="6" t="n"/>
      <c r="P24" s="7" t="inlineStr">
        <is>
          <t>Not Started</t>
        </is>
      </c>
      <c r="Q24" s="10">
        <f>IF(OR(M24="",P24="Approved",P24="Approved as Noted"),"",M24-TODAY())</f>
        <v/>
      </c>
      <c r="R24" s="12" t="inlineStr">
        <is>
          <t>Added by Claude</t>
        </is>
      </c>
      <c r="S24" s="11" t="inlineStr">
        <is>
          <t>Only for products assigned as delegated design</t>
        </is>
      </c>
      <c r="T24" s="4" t="inlineStr">
        <is>
          <t>Submit digitally signed PDF certificate, signed and sealed by the responsible design professional, for each product and system assigned to the Contractor to design or certify.</t>
        </is>
      </c>
    </row>
    <row r="25">
      <c r="A25" s="4" t="inlineStr">
        <is>
          <t>013513.01</t>
        </is>
      </c>
      <c r="B25" s="4" t="n">
        <v>0</v>
      </c>
      <c r="C25" s="5" t="inlineStr">
        <is>
          <t>Noise schedule: demolition and noisy operations with dates, times and duration</t>
        </is>
      </c>
      <c r="D25" s="4" t="inlineStr">
        <is>
          <t>01 35 13</t>
        </is>
      </c>
      <c r="E25" s="5" t="inlineStr">
        <is>
          <t>Hospital Project Procedures</t>
        </is>
      </c>
      <c r="F25" s="4" t="inlineStr">
        <is>
          <t>SCHED</t>
        </is>
      </c>
      <c r="G25" s="4" t="inlineStr">
        <is>
          <t>1.4.A.3 p.54</t>
        </is>
      </c>
      <c r="H25" s="6" t="n"/>
      <c r="I25" s="7" t="inlineStr"/>
      <c r="J25" s="8">
        <f>'Project Rules'!$B$5</f>
        <v/>
      </c>
      <c r="K25" s="8">
        <f>'Project Rules'!$B$6</f>
        <v/>
      </c>
      <c r="L25" s="9">
        <f>IF(OR(H25="",I25=""),"",H25-7*I25)</f>
        <v/>
      </c>
      <c r="M25" s="9">
        <f>IF(OR(H25="",I25=""),"",H25-7*(I25+J25+K25))</f>
        <v/>
      </c>
      <c r="N25" s="6" t="n"/>
      <c r="O25" s="6" t="n"/>
      <c r="P25" s="7" t="inlineStr">
        <is>
          <t>Not Started</t>
        </is>
      </c>
      <c r="Q25" s="10">
        <f>IF(OR(M25="",P25="Approved",P25="Approved as Noted"),"",M25-TODAY())</f>
        <v/>
      </c>
      <c r="R25" s="4" t="inlineStr">
        <is>
          <t>Added by Claude</t>
        </is>
      </c>
      <c r="S25" s="11" t="inlineStr">
        <is>
          <t>As soon as practicable</t>
        </is>
      </c>
      <c r="T25" s="4" t="inlineStr">
        <is>
          <t>Submit "Noise Schedule" as soon as practicable indicating type of demolition and other noise inducing construction operations showing dates, times, and duration of such work.</t>
        </is>
      </c>
    </row>
    <row r="26">
      <c r="A26" s="4" t="inlineStr">
        <is>
          <t>013516.01</t>
        </is>
      </c>
      <c r="B26" s="4" t="n">
        <v>0</v>
      </c>
      <c r="C26" s="5" t="inlineStr">
        <is>
          <t>Submit alteration work subschedule within seven days of date established for commencement of alteration work.</t>
        </is>
      </c>
      <c r="D26" s="4" t="inlineStr">
        <is>
          <t>01 35 16</t>
        </is>
      </c>
      <c r="E26" s="5" t="inlineStr">
        <is>
          <t>Alteration Project Procedures</t>
        </is>
      </c>
      <c r="F26" s="4" t="inlineStr">
        <is>
          <t>SCHED</t>
        </is>
      </c>
      <c r="G26" s="4" t="inlineStr">
        <is>
          <t>1.5.A.1 p.59</t>
        </is>
      </c>
      <c r="H26" s="6" t="n"/>
      <c r="I26" s="7" t="inlineStr"/>
      <c r="J26" s="8">
        <f>'Project Rules'!$B$5</f>
        <v/>
      </c>
      <c r="K26" s="8">
        <f>'Project Rules'!$B$6</f>
        <v/>
      </c>
      <c r="L26" s="9">
        <f>IF(OR(H26="",I26=""),"",H26-7*I26)</f>
        <v/>
      </c>
      <c r="M26" s="9">
        <f>IF(OR(H26="",I26=""),"",H26-7*(I26+J26+K26))</f>
        <v/>
      </c>
      <c r="N26" s="6" t="n"/>
      <c r="O26" s="6" t="n"/>
      <c r="P26" s="7" t="inlineStr">
        <is>
          <t>Not Started</t>
        </is>
      </c>
      <c r="Q26" s="10">
        <f>IF(OR(M26="",P26="Approved",P26="Approved as Noted"),"",M26-TODAY())</f>
        <v/>
      </c>
      <c r="R26" s="4" t="inlineStr">
        <is>
          <t>Spec article</t>
        </is>
      </c>
      <c r="S26" s="11" t="inlineStr"/>
      <c r="T26" s="4" t="inlineStr">
        <is>
          <t>Submit alteration work subschedule within seven days of date established for commencement of alteration work.</t>
        </is>
      </c>
    </row>
    <row r="27">
      <c r="A27" s="4" t="inlineStr">
        <is>
          <t>013516.02</t>
        </is>
      </c>
      <c r="B27" s="4" t="n">
        <v>0</v>
      </c>
      <c r="C27" s="5" t="inlineStr">
        <is>
          <t>Preconstruction Documentation: Show preexisting conditions of adjoining construction and site improvements that are to remain, including finish surfaces, that might be...</t>
        </is>
      </c>
      <c r="D27" s="4" t="inlineStr">
        <is>
          <t>01 35 16</t>
        </is>
      </c>
      <c r="E27" s="5" t="inlineStr">
        <is>
          <t>Alteration Project Procedures</t>
        </is>
      </c>
      <c r="F27" s="4" t="inlineStr">
        <is>
          <t>REPORT</t>
        </is>
      </c>
      <c r="G27" s="4" t="inlineStr">
        <is>
          <t>1.5.B p.59</t>
        </is>
      </c>
      <c r="H27" s="6" t="n"/>
      <c r="I27" s="7" t="inlineStr"/>
      <c r="J27" s="8">
        <f>'Project Rules'!$B$5</f>
        <v/>
      </c>
      <c r="K27" s="8">
        <f>'Project Rules'!$B$6</f>
        <v/>
      </c>
      <c r="L27" s="9">
        <f>IF(OR(H27="",I27=""),"",H27-7*I27)</f>
        <v/>
      </c>
      <c r="M27" s="9">
        <f>IF(OR(H27="",I27=""),"",H27-7*(I27+J27+K27))</f>
        <v/>
      </c>
      <c r="N27" s="6" t="n"/>
      <c r="O27" s="6" t="n"/>
      <c r="P27" s="7" t="inlineStr">
        <is>
          <t>Not Started</t>
        </is>
      </c>
      <c r="Q27" s="10">
        <f>IF(OR(M27="",P27="Approved",P27="Approved as Noted"),"",M27-TODAY())</f>
        <v/>
      </c>
      <c r="R27" s="4" t="inlineStr">
        <is>
          <t>Spec article</t>
        </is>
      </c>
      <c r="S27" s="11" t="inlineStr"/>
      <c r="T27" s="4" t="inlineStr">
        <is>
          <t>Preconstruction Documentation: Show preexisting conditions of adjoining construction and site improvements that are to remain, including finish surfaces, that might be misconstrued as damage caused by Contractor's alteration work operations.</t>
        </is>
      </c>
    </row>
    <row r="28">
      <c r="A28" s="4" t="inlineStr">
        <is>
          <t>013516.03</t>
        </is>
      </c>
      <c r="B28" s="4" t="n">
        <v>0</v>
      </c>
      <c r="C28" s="5" t="inlineStr">
        <is>
          <t>Alteration Work Program: Submit 30 days before work begins.</t>
        </is>
      </c>
      <c r="D28" s="4" t="inlineStr">
        <is>
          <t>01 35 16</t>
        </is>
      </c>
      <c r="E28" s="5" t="inlineStr">
        <is>
          <t>Alteration Project Procedures</t>
        </is>
      </c>
      <c r="F28" s="4" t="inlineStr">
        <is>
          <t>REPORT</t>
        </is>
      </c>
      <c r="G28" s="4" t="inlineStr">
        <is>
          <t>1.5.C p.59</t>
        </is>
      </c>
      <c r="H28" s="6" t="n"/>
      <c r="I28" s="7" t="inlineStr"/>
      <c r="J28" s="8">
        <f>'Project Rules'!$B$5</f>
        <v/>
      </c>
      <c r="K28" s="8">
        <f>'Project Rules'!$B$6</f>
        <v/>
      </c>
      <c r="L28" s="9">
        <f>IF(OR(H28="",I28=""),"",H28-7*I28)</f>
        <v/>
      </c>
      <c r="M28" s="9">
        <f>IF(OR(H28="",I28=""),"",H28-7*(I28+J28+K28))</f>
        <v/>
      </c>
      <c r="N28" s="6" t="n"/>
      <c r="O28" s="6" t="n"/>
      <c r="P28" s="7" t="inlineStr">
        <is>
          <t>Not Started</t>
        </is>
      </c>
      <c r="Q28" s="10">
        <f>IF(OR(M28="",P28="Approved",P28="Approved as Noted"),"",M28-TODAY())</f>
        <v/>
      </c>
      <c r="R28" s="4" t="inlineStr">
        <is>
          <t>Spec article</t>
        </is>
      </c>
      <c r="S28" s="11" t="inlineStr"/>
      <c r="T28" s="4" t="inlineStr">
        <is>
          <t>Alteration Work Program: Submit 30 days before work begins.</t>
        </is>
      </c>
    </row>
    <row r="29">
      <c r="A29" s="4" t="inlineStr">
        <is>
          <t>013516.04</t>
        </is>
      </c>
      <c r="B29" s="4" t="n">
        <v>0</v>
      </c>
      <c r="C29" s="5" t="inlineStr">
        <is>
          <t>Fire-Prevention Plan: Submit 30 days before work begins.</t>
        </is>
      </c>
      <c r="D29" s="4" t="inlineStr">
        <is>
          <t>01 35 16</t>
        </is>
      </c>
      <c r="E29" s="5" t="inlineStr">
        <is>
          <t>Alteration Project Procedures</t>
        </is>
      </c>
      <c r="F29" s="4" t="inlineStr">
        <is>
          <t>REPORT</t>
        </is>
      </c>
      <c r="G29" s="4" t="inlineStr">
        <is>
          <t>1.5.D p.59</t>
        </is>
      </c>
      <c r="H29" s="6" t="n"/>
      <c r="I29" s="7" t="inlineStr"/>
      <c r="J29" s="8">
        <f>'Project Rules'!$B$5</f>
        <v/>
      </c>
      <c r="K29" s="8">
        <f>'Project Rules'!$B$6</f>
        <v/>
      </c>
      <c r="L29" s="9">
        <f>IF(OR(H29="",I29=""),"",H29-7*I29)</f>
        <v/>
      </c>
      <c r="M29" s="9">
        <f>IF(OR(H29="",I29=""),"",H29-7*(I29+J29+K29))</f>
        <v/>
      </c>
      <c r="N29" s="6" t="n"/>
      <c r="O29" s="6" t="n"/>
      <c r="P29" s="7" t="inlineStr">
        <is>
          <t>Not Started</t>
        </is>
      </c>
      <c r="Q29" s="10">
        <f>IF(OR(M29="",P29="Approved",P29="Approved as Noted"),"",M29-TODAY())</f>
        <v/>
      </c>
      <c r="R29" s="4" t="inlineStr">
        <is>
          <t>Spec article</t>
        </is>
      </c>
      <c r="S29" s="11" t="inlineStr"/>
      <c r="T29" s="4" t="inlineStr">
        <is>
          <t>Fire-Prevention Plan: Submit 30 days before work begins.</t>
        </is>
      </c>
    </row>
    <row r="30">
      <c r="A30" s="4" t="inlineStr">
        <is>
          <t>014000.01</t>
        </is>
      </c>
      <c r="B30" s="4" t="n">
        <v>0</v>
      </c>
      <c r="C30" s="5" t="inlineStr">
        <is>
          <t>Mockup shop drawings: plans, sections, elevations, details, components and axonometrics</t>
        </is>
      </c>
      <c r="D30" s="4" t="inlineStr">
        <is>
          <t>01 40 00</t>
        </is>
      </c>
      <c r="E30" s="5" t="inlineStr">
        <is>
          <t>Quality Requirements</t>
        </is>
      </c>
      <c r="F30" s="4" t="inlineStr">
        <is>
          <t>SD</t>
        </is>
      </c>
      <c r="G30" s="4" t="inlineStr">
        <is>
          <t>1.5.A p.64</t>
        </is>
      </c>
      <c r="H30" s="6" t="n"/>
      <c r="I30" s="7" t="inlineStr"/>
      <c r="J30" s="8">
        <f>'Project Rules'!$B$5</f>
        <v/>
      </c>
      <c r="K30" s="8">
        <f>'Project Rules'!$B$6</f>
        <v/>
      </c>
      <c r="L30" s="9">
        <f>IF(OR(H30="",I30=""),"",H30-7*I30)</f>
        <v/>
      </c>
      <c r="M30" s="9">
        <f>IF(OR(H30="",I30=""),"",H30-7*(I30+J30+K30))</f>
        <v/>
      </c>
      <c r="N30" s="6" t="n"/>
      <c r="O30" s="6" t="n"/>
      <c r="P30" s="7" t="inlineStr">
        <is>
          <t>Not Started</t>
        </is>
      </c>
      <c r="Q30" s="10">
        <f>IF(OR(M30="",P30="Approved",P30="Approved as Noted"),"",M30-TODAY())</f>
        <v/>
      </c>
      <c r="R30" s="4" t="inlineStr">
        <is>
          <t>Spec article (merged)</t>
        </is>
      </c>
      <c r="S30" s="11" t="inlineStr">
        <is>
          <t>Only for mockups the sections require</t>
        </is>
      </c>
      <c r="T30" s="4" t="inlineStr">
        <is>
          <t>Include plans, sections, elevations, and details, indicating materials and size of mockup construction. Indicate manufacturer and model number of individual components. Provide axonometric drawings for conditions difficult to illustrate in two dimensions.</t>
        </is>
      </c>
    </row>
    <row r="31">
      <c r="A31" s="4" t="inlineStr">
        <is>
          <t>014000.02</t>
        </is>
      </c>
      <c r="B31" s="4" t="n">
        <v>0</v>
      </c>
      <c r="C31" s="5" t="inlineStr">
        <is>
          <t>Contractor's Quality-Control Plan: For quality-assurance and quality-control activities and responsibilities.</t>
        </is>
      </c>
      <c r="D31" s="4" t="inlineStr">
        <is>
          <t>01 40 00</t>
        </is>
      </c>
      <c r="E31" s="5" t="inlineStr">
        <is>
          <t>Quality Requirements</t>
        </is>
      </c>
      <c r="F31" s="4" t="inlineStr">
        <is>
          <t>REPORT</t>
        </is>
      </c>
      <c r="G31" s="4" t="inlineStr">
        <is>
          <t>1.6.A p.64</t>
        </is>
      </c>
      <c r="H31" s="6" t="n"/>
      <c r="I31" s="7" t="inlineStr"/>
      <c r="J31" s="8">
        <f>'Project Rules'!$B$5</f>
        <v/>
      </c>
      <c r="K31" s="8">
        <f>'Project Rules'!$B$6</f>
        <v/>
      </c>
      <c r="L31" s="9">
        <f>IF(OR(H31="",I31=""),"",H31-7*I31)</f>
        <v/>
      </c>
      <c r="M31" s="9">
        <f>IF(OR(H31="",I31=""),"",H31-7*(I31+J31+K31))</f>
        <v/>
      </c>
      <c r="N31" s="6" t="n"/>
      <c r="O31" s="6" t="n"/>
      <c r="P31" s="7" t="inlineStr">
        <is>
          <t>Not Started</t>
        </is>
      </c>
      <c r="Q31" s="10">
        <f>IF(OR(M31="",P31="Approved",P31="Approved as Noted"),"",M31-TODAY())</f>
        <v/>
      </c>
      <c r="R31" s="4" t="inlineStr">
        <is>
          <t>Spec article</t>
        </is>
      </c>
      <c r="S31" s="11" t="inlineStr"/>
      <c r="T31" s="4" t="inlineStr">
        <is>
          <t>Contractor's Quality-Control Plan: For quality-assurance and quality-control activities and responsibilities.</t>
        </is>
      </c>
    </row>
    <row r="32">
      <c r="A32" s="4" t="inlineStr">
        <is>
          <t>014000.03</t>
        </is>
      </c>
      <c r="B32" s="4" t="n">
        <v>0</v>
      </c>
      <c r="C32" s="5" t="inlineStr">
        <is>
          <t>Qualification Data: For Contractor's quality-control personnel.</t>
        </is>
      </c>
      <c r="D32" s="4" t="inlineStr">
        <is>
          <t>01 40 00</t>
        </is>
      </c>
      <c r="E32" s="5" t="inlineStr">
        <is>
          <t>Quality Requirements</t>
        </is>
      </c>
      <c r="F32" s="4" t="inlineStr">
        <is>
          <t>CERT</t>
        </is>
      </c>
      <c r="G32" s="4" t="inlineStr">
        <is>
          <t>1.6.B p.64</t>
        </is>
      </c>
      <c r="H32" s="6" t="n"/>
      <c r="I32" s="7" t="inlineStr"/>
      <c r="J32" s="8">
        <f>'Project Rules'!$B$5</f>
        <v/>
      </c>
      <c r="K32" s="8">
        <f>'Project Rules'!$B$6</f>
        <v/>
      </c>
      <c r="L32" s="9">
        <f>IF(OR(H32="",I32=""),"",H32-7*I32)</f>
        <v/>
      </c>
      <c r="M32" s="9">
        <f>IF(OR(H32="",I32=""),"",H32-7*(I32+J32+K32))</f>
        <v/>
      </c>
      <c r="N32" s="6" t="n"/>
      <c r="O32" s="6" t="n"/>
      <c r="P32" s="7" t="inlineStr">
        <is>
          <t>Not Started</t>
        </is>
      </c>
      <c r="Q32" s="10">
        <f>IF(OR(M32="",P32="Approved",P32="Approved as Noted"),"",M32-TODAY())</f>
        <v/>
      </c>
      <c r="R32" s="4" t="inlineStr">
        <is>
          <t>Spec article</t>
        </is>
      </c>
      <c r="S32" s="11" t="inlineStr"/>
      <c r="T32" s="4" t="inlineStr">
        <is>
          <t>Qualification Data: For Contractor's quality-control personnel.</t>
        </is>
      </c>
    </row>
    <row r="33">
      <c r="A33" s="4" t="inlineStr">
        <is>
          <t>014000.04</t>
        </is>
      </c>
      <c r="B33" s="4" t="n">
        <v>0</v>
      </c>
      <c r="C33" s="5" t="inlineStr">
        <is>
          <t>Contractor's Statement of Responsibility: When required by authorities having jurisdiction, submit copy of written statement of responsibility submitted to authorities...</t>
        </is>
      </c>
      <c r="D33" s="4" t="inlineStr">
        <is>
          <t>01 40 00</t>
        </is>
      </c>
      <c r="E33" s="5" t="inlineStr">
        <is>
          <t>Quality Requirements</t>
        </is>
      </c>
      <c r="F33" s="4" t="inlineStr">
        <is>
          <t>REPORT</t>
        </is>
      </c>
      <c r="G33" s="4" t="inlineStr">
        <is>
          <t>1.6.C p.64</t>
        </is>
      </c>
      <c r="H33" s="6" t="n"/>
      <c r="I33" s="7" t="inlineStr"/>
      <c r="J33" s="8">
        <f>'Project Rules'!$B$5</f>
        <v/>
      </c>
      <c r="K33" s="8">
        <f>'Project Rules'!$B$6</f>
        <v/>
      </c>
      <c r="L33" s="9">
        <f>IF(OR(H33="",I33=""),"",H33-7*I33)</f>
        <v/>
      </c>
      <c r="M33" s="9">
        <f>IF(OR(H33="",I33=""),"",H33-7*(I33+J33+K33))</f>
        <v/>
      </c>
      <c r="N33" s="6" t="n"/>
      <c r="O33" s="6" t="n"/>
      <c r="P33" s="7" t="inlineStr">
        <is>
          <t>Not Started</t>
        </is>
      </c>
      <c r="Q33" s="10">
        <f>IF(OR(M33="",P33="Approved",P33="Approved as Noted"),"",M33-TODAY())</f>
        <v/>
      </c>
      <c r="R33" s="4" t="inlineStr">
        <is>
          <t>Spec article</t>
        </is>
      </c>
      <c r="S33" s="11" t="inlineStr"/>
      <c r="T33" s="4" t="inlineStr">
        <is>
          <t>Contractor's Statement of Responsibility: When required by authorities having jurisdiction, submit copy of written statement of responsibility submitted to authorities having jurisdiction before starting work on the following systems: 1. Primary wind-force-resisting system or a wind-resisting component listed in the Statement of Special Inspections.</t>
        </is>
      </c>
    </row>
    <row r="34">
      <c r="A34" s="4" t="inlineStr">
        <is>
          <t>014000.05</t>
        </is>
      </c>
      <c r="B34" s="4" t="n">
        <v>0</v>
      </c>
      <c r="C34" s="5" t="inlineStr">
        <is>
          <t>Testing Agency Qualifications: For testing agencies specified in "Quality Assurance" Article to demonstrate their capabilities and experience.</t>
        </is>
      </c>
      <c r="D34" s="4" t="inlineStr">
        <is>
          <t>01 40 00</t>
        </is>
      </c>
      <c r="E34" s="5" t="inlineStr">
        <is>
          <t>Quality Requirements</t>
        </is>
      </c>
      <c r="F34" s="4" t="inlineStr">
        <is>
          <t>CERT</t>
        </is>
      </c>
      <c r="G34" s="4" t="inlineStr">
        <is>
          <t>1.6.D p.64</t>
        </is>
      </c>
      <c r="H34" s="6" t="n"/>
      <c r="I34" s="7" t="inlineStr"/>
      <c r="J34" s="8">
        <f>'Project Rules'!$B$5</f>
        <v/>
      </c>
      <c r="K34" s="8">
        <f>'Project Rules'!$B$6</f>
        <v/>
      </c>
      <c r="L34" s="9">
        <f>IF(OR(H34="",I34=""),"",H34-7*I34)</f>
        <v/>
      </c>
      <c r="M34" s="9">
        <f>IF(OR(H34="",I34=""),"",H34-7*(I34+J34+K34))</f>
        <v/>
      </c>
      <c r="N34" s="6" t="n"/>
      <c r="O34" s="6" t="n"/>
      <c r="P34" s="7" t="inlineStr">
        <is>
          <t>Not Started</t>
        </is>
      </c>
      <c r="Q34" s="10">
        <f>IF(OR(M34="",P34="Approved",P34="Approved as Noted"),"",M34-TODAY())</f>
        <v/>
      </c>
      <c r="R34" s="4" t="inlineStr">
        <is>
          <t>Spec article</t>
        </is>
      </c>
      <c r="S34" s="11" t="inlineStr"/>
      <c r="T34" s="4" t="inlineStr">
        <is>
          <t>Testing Agency Qualifications: For testing agencies specified in "Quality Assurance" Article to demonstrate their capabilities and experience. Include proof of qualifications in the form of a recent report on the inspection of the testing agency by a recognized authority.</t>
        </is>
      </c>
    </row>
    <row r="35">
      <c r="A35" s="4" t="inlineStr">
        <is>
          <t>014000.06</t>
        </is>
      </c>
      <c r="B35" s="4" t="n">
        <v>0</v>
      </c>
      <c r="C35" s="5" t="inlineStr">
        <is>
          <t>Schedule of Tests and Inspections: Prepare in tabular form and include the following: 1.</t>
        </is>
      </c>
      <c r="D35" s="4" t="inlineStr">
        <is>
          <t>01 40 00</t>
        </is>
      </c>
      <c r="E35" s="5" t="inlineStr">
        <is>
          <t>Quality Requirements</t>
        </is>
      </c>
      <c r="F35" s="4" t="inlineStr">
        <is>
          <t>SCHED</t>
        </is>
      </c>
      <c r="G35" s="4" t="inlineStr">
        <is>
          <t>1.6.E p.64</t>
        </is>
      </c>
      <c r="H35" s="6" t="n"/>
      <c r="I35" s="7" t="inlineStr"/>
      <c r="J35" s="8">
        <f>'Project Rules'!$B$5</f>
        <v/>
      </c>
      <c r="K35" s="8">
        <f>'Project Rules'!$B$6</f>
        <v/>
      </c>
      <c r="L35" s="9">
        <f>IF(OR(H35="",I35=""),"",H35-7*I35)</f>
        <v/>
      </c>
      <c r="M35" s="9">
        <f>IF(OR(H35="",I35=""),"",H35-7*(I35+J35+K35))</f>
        <v/>
      </c>
      <c r="N35" s="6" t="n"/>
      <c r="O35" s="6" t="n"/>
      <c r="P35" s="7" t="inlineStr">
        <is>
          <t>Not Started</t>
        </is>
      </c>
      <c r="Q35" s="10">
        <f>IF(OR(M35="",P35="Approved",P35="Approved as Noted"),"",M35-TODAY())</f>
        <v/>
      </c>
      <c r="R35" s="4" t="inlineStr">
        <is>
          <t>Spec article</t>
        </is>
      </c>
      <c r="S35" s="11" t="inlineStr"/>
      <c r="T35" s="4" t="inlineStr">
        <is>
          <t>Schedule of Tests and Inspections: Prepare in tabular form and include the following: 1. Specification Section number and title. 2. Entity responsible for performing tests and inspections. 3. Description of test and inspection.</t>
        </is>
      </c>
    </row>
    <row r="36">
      <c r="A36" s="4" t="inlineStr">
        <is>
          <t>015000.01</t>
        </is>
      </c>
      <c r="B36" s="4" t="n">
        <v>0</v>
      </c>
      <c r="C36" s="5" t="inlineStr">
        <is>
          <t>Site Utilization Plan: Show temporary facilities, temporary utility lines and connections, staging areas, construction site entrances, vehicle circulation, and parking...</t>
        </is>
      </c>
      <c r="D36" s="4" t="inlineStr">
        <is>
          <t>01 50 00</t>
        </is>
      </c>
      <c r="E36" s="5" t="inlineStr">
        <is>
          <t>Temporary Facilities And Controls</t>
        </is>
      </c>
      <c r="F36" s="4" t="inlineStr">
        <is>
          <t>REPORT</t>
        </is>
      </c>
      <c r="G36" s="4" t="inlineStr">
        <is>
          <t>1.3.A p.71</t>
        </is>
      </c>
      <c r="H36" s="6" t="n"/>
      <c r="I36" s="7" t="inlineStr"/>
      <c r="J36" s="8">
        <f>'Project Rules'!$B$5</f>
        <v/>
      </c>
      <c r="K36" s="8">
        <f>'Project Rules'!$B$6</f>
        <v/>
      </c>
      <c r="L36" s="9">
        <f>IF(OR(H36="",I36=""),"",H36-7*I36)</f>
        <v/>
      </c>
      <c r="M36" s="9">
        <f>IF(OR(H36="",I36=""),"",H36-7*(I36+J36+K36))</f>
        <v/>
      </c>
      <c r="N36" s="6" t="n"/>
      <c r="O36" s="6" t="n"/>
      <c r="P36" s="7" t="inlineStr">
        <is>
          <t>Not Started</t>
        </is>
      </c>
      <c r="Q36" s="10">
        <f>IF(OR(M36="",P36="Approved",P36="Approved as Noted"),"",M36-TODAY())</f>
        <v/>
      </c>
      <c r="R36" s="4" t="inlineStr">
        <is>
          <t>Spec article</t>
        </is>
      </c>
      <c r="S36" s="11" t="inlineStr"/>
      <c r="T36" s="4" t="inlineStr">
        <is>
          <t>Site Utilization Plan: Show temporary facilities, temporary utility lines and connections, staging areas, construction site entrances, vehicle circulation, and parking areas for construction personnel.</t>
        </is>
      </c>
    </row>
    <row r="37">
      <c r="A37" s="4" t="inlineStr">
        <is>
          <t>015000.02</t>
        </is>
      </c>
      <c r="B37" s="4" t="n">
        <v>0</v>
      </c>
      <c r="C37" s="5" t="inlineStr">
        <is>
          <t>Implementation and Termination Schedule: Within 15 days of date established for commencement of the Work, submit schedule indicating implementation and termination dates...</t>
        </is>
      </c>
      <c r="D37" s="4" t="inlineStr">
        <is>
          <t>01 50 00</t>
        </is>
      </c>
      <c r="E37" s="5" t="inlineStr">
        <is>
          <t>Temporary Facilities And Controls</t>
        </is>
      </c>
      <c r="F37" s="4" t="inlineStr">
        <is>
          <t>SCHED</t>
        </is>
      </c>
      <c r="G37" s="4" t="inlineStr">
        <is>
          <t>1.3.B p.71</t>
        </is>
      </c>
      <c r="H37" s="6" t="n"/>
      <c r="I37" s="7" t="inlineStr"/>
      <c r="J37" s="8">
        <f>'Project Rules'!$B$5</f>
        <v/>
      </c>
      <c r="K37" s="8">
        <f>'Project Rules'!$B$6</f>
        <v/>
      </c>
      <c r="L37" s="9">
        <f>IF(OR(H37="",I37=""),"",H37-7*I37)</f>
        <v/>
      </c>
      <c r="M37" s="9">
        <f>IF(OR(H37="",I37=""),"",H37-7*(I37+J37+K37))</f>
        <v/>
      </c>
      <c r="N37" s="6" t="n"/>
      <c r="O37" s="6" t="n"/>
      <c r="P37" s="7" t="inlineStr">
        <is>
          <t>Not Started</t>
        </is>
      </c>
      <c r="Q37" s="10">
        <f>IF(OR(M37="",P37="Approved",P37="Approved as Noted"),"",M37-TODAY())</f>
        <v/>
      </c>
      <c r="R37" s="4" t="inlineStr">
        <is>
          <t>Spec article</t>
        </is>
      </c>
      <c r="S37" s="11" t="inlineStr"/>
      <c r="T37" s="4" t="inlineStr">
        <is>
          <t>Implementation and Termination Schedule: Within 15 days of date established for commencement of the Work, submit schedule indicating implementation and termination dates of each temporary utility.</t>
        </is>
      </c>
    </row>
    <row r="38">
      <c r="A38" s="4" t="inlineStr">
        <is>
          <t>015000.03</t>
        </is>
      </c>
      <c r="B38" s="4" t="n">
        <v>0</v>
      </c>
      <c r="C38" s="5" t="inlineStr">
        <is>
          <t>Project Identification and Temporary Signs: Show fabrication and installation details, including plans, elevations, details, layouts, typestyles, graphic elements, and...</t>
        </is>
      </c>
      <c r="D38" s="4" t="inlineStr">
        <is>
          <t>01 50 00</t>
        </is>
      </c>
      <c r="E38" s="5" t="inlineStr">
        <is>
          <t>Temporary Facilities And Controls</t>
        </is>
      </c>
      <c r="F38" s="4" t="inlineStr">
        <is>
          <t>REPORT</t>
        </is>
      </c>
      <c r="G38" s="4" t="inlineStr">
        <is>
          <t>1.3.C p.71</t>
        </is>
      </c>
      <c r="H38" s="6" t="n"/>
      <c r="I38" s="7" t="inlineStr"/>
      <c r="J38" s="8">
        <f>'Project Rules'!$B$5</f>
        <v/>
      </c>
      <c r="K38" s="8">
        <f>'Project Rules'!$B$6</f>
        <v/>
      </c>
      <c r="L38" s="9">
        <f>IF(OR(H38="",I38=""),"",H38-7*I38)</f>
        <v/>
      </c>
      <c r="M38" s="9">
        <f>IF(OR(H38="",I38=""),"",H38-7*(I38+J38+K38))</f>
        <v/>
      </c>
      <c r="N38" s="6" t="n"/>
      <c r="O38" s="6" t="n"/>
      <c r="P38" s="7" t="inlineStr">
        <is>
          <t>Not Started</t>
        </is>
      </c>
      <c r="Q38" s="10">
        <f>IF(OR(M38="",P38="Approved",P38="Approved as Noted"),"",M38-TODAY())</f>
        <v/>
      </c>
      <c r="R38" s="4" t="inlineStr">
        <is>
          <t>Spec article</t>
        </is>
      </c>
      <c r="S38" s="11" t="inlineStr"/>
      <c r="T38" s="4" t="inlineStr">
        <is>
          <t>Project Identification and Temporary Signs: Show fabrication and installation details, including plans, elevations, details, layouts, typestyles, graphic elements, and message content.</t>
        </is>
      </c>
    </row>
    <row r="39">
      <c r="A39" s="4" t="inlineStr">
        <is>
          <t>015000.04</t>
        </is>
      </c>
      <c r="B39" s="4" t="n">
        <v>0</v>
      </c>
      <c r="C39" s="5" t="inlineStr">
        <is>
          <t>Fire-Safety Program: Show compliance with requirements of NFPA 241 and authorities having jurisdiction.</t>
        </is>
      </c>
      <c r="D39" s="4" t="inlineStr">
        <is>
          <t>01 50 00</t>
        </is>
      </c>
      <c r="E39" s="5" t="inlineStr">
        <is>
          <t>Temporary Facilities And Controls</t>
        </is>
      </c>
      <c r="F39" s="4" t="inlineStr">
        <is>
          <t>REPORT</t>
        </is>
      </c>
      <c r="G39" s="4" t="inlineStr">
        <is>
          <t>1.3.D p.71</t>
        </is>
      </c>
      <c r="H39" s="6" t="n"/>
      <c r="I39" s="7" t="inlineStr"/>
      <c r="J39" s="8">
        <f>'Project Rules'!$B$5</f>
        <v/>
      </c>
      <c r="K39" s="8">
        <f>'Project Rules'!$B$6</f>
        <v/>
      </c>
      <c r="L39" s="9">
        <f>IF(OR(H39="",I39=""),"",H39-7*I39)</f>
        <v/>
      </c>
      <c r="M39" s="9">
        <f>IF(OR(H39="",I39=""),"",H39-7*(I39+J39+K39))</f>
        <v/>
      </c>
      <c r="N39" s="6" t="n"/>
      <c r="O39" s="6" t="n"/>
      <c r="P39" s="7" t="inlineStr">
        <is>
          <t>Not Started</t>
        </is>
      </c>
      <c r="Q39" s="10">
        <f>IF(OR(M39="",P39="Approved",P39="Approved as Noted"),"",M39-TODAY())</f>
        <v/>
      </c>
      <c r="R39" s="4" t="inlineStr">
        <is>
          <t>Spec article</t>
        </is>
      </c>
      <c r="S39" s="11" t="inlineStr"/>
      <c r="T39" s="4" t="inlineStr">
        <is>
          <t>Fire-Safety Program: Show compliance with requirements of NFPA 241 and authorities having jurisdiction. Indicate Contractor personnel responsible for management of fire-prevention program.</t>
        </is>
      </c>
    </row>
    <row r="40">
      <c r="A40" s="4" t="inlineStr">
        <is>
          <t>015000.05</t>
        </is>
      </c>
      <c r="B40" s="4" t="n">
        <v>0</v>
      </c>
      <c r="C40" s="5" t="inlineStr">
        <is>
          <t>Moisture- and Mold-Protection Plan: Describe procedures and controls for protecting materials and construction from water absorption and damage and mold.</t>
        </is>
      </c>
      <c r="D40" s="4" t="inlineStr">
        <is>
          <t>01 50 00</t>
        </is>
      </c>
      <c r="E40" s="5" t="inlineStr">
        <is>
          <t>Temporary Facilities And Controls</t>
        </is>
      </c>
      <c r="F40" s="4" t="inlineStr">
        <is>
          <t>REPORT</t>
        </is>
      </c>
      <c r="G40" s="4" t="inlineStr">
        <is>
          <t>1.3.E p.71</t>
        </is>
      </c>
      <c r="H40" s="6" t="n"/>
      <c r="I40" s="7" t="inlineStr"/>
      <c r="J40" s="8">
        <f>'Project Rules'!$B$5</f>
        <v/>
      </c>
      <c r="K40" s="8">
        <f>'Project Rules'!$B$6</f>
        <v/>
      </c>
      <c r="L40" s="9">
        <f>IF(OR(H40="",I40=""),"",H40-7*I40)</f>
        <v/>
      </c>
      <c r="M40" s="9">
        <f>IF(OR(H40="",I40=""),"",H40-7*(I40+J40+K40))</f>
        <v/>
      </c>
      <c r="N40" s="6" t="n"/>
      <c r="O40" s="6" t="n"/>
      <c r="P40" s="7" t="inlineStr">
        <is>
          <t>Not Started</t>
        </is>
      </c>
      <c r="Q40" s="10">
        <f>IF(OR(M40="",P40="Approved",P40="Approved as Noted"),"",M40-TODAY())</f>
        <v/>
      </c>
      <c r="R40" s="4" t="inlineStr">
        <is>
          <t>Spec article</t>
        </is>
      </c>
      <c r="S40" s="11" t="inlineStr"/>
      <c r="T40" s="4" t="inlineStr">
        <is>
          <t>Moisture- and Mold-Protection Plan: Describe procedures and controls for protecting materials and construction from water absorption and damage and mold. Describe delivery, handling, storage, installation, and protection provisions for materials subject to water absorption or water damage. 1. Indicate procedures for discarding water-damaged materials, protocols for mitigating water intrusion into completed Work, and requirements for replacing water-damaged Work. 2. Indicate sequencing of work that requires water, such as sprayed fire-resistive materials, plastering, and terrazzo grinding, and describe plans for dealing with water from these operations. Show procedures for verifying that wet construction has dried sufficiently to permit installation of finish materials. 3. Indicate methods to be used to avoid trapping water in finished work.</t>
        </is>
      </c>
    </row>
    <row r="41">
      <c r="A41" s="4" t="inlineStr">
        <is>
          <t>015000.06</t>
        </is>
      </c>
      <c r="B41" s="4" t="n">
        <v>0</v>
      </c>
      <c r="C41" s="5" t="inlineStr">
        <is>
          <t>Dust- and HVAC-Control Plan: Submit coordination drawing and narrative that indicates the dust- and HVAC-control measures proposed for use, proposed locations, and...</t>
        </is>
      </c>
      <c r="D41" s="4" t="inlineStr">
        <is>
          <t>01 50 00</t>
        </is>
      </c>
      <c r="E41" s="5" t="inlineStr">
        <is>
          <t>Temporary Facilities And Controls</t>
        </is>
      </c>
      <c r="F41" s="4" t="inlineStr">
        <is>
          <t>REPORT+SD</t>
        </is>
      </c>
      <c r="G41" s="4" t="inlineStr">
        <is>
          <t>1.3.F p.71</t>
        </is>
      </c>
      <c r="H41" s="6" t="n"/>
      <c r="I41" s="7" t="inlineStr"/>
      <c r="J41" s="8">
        <f>'Project Rules'!$B$5</f>
        <v/>
      </c>
      <c r="K41" s="8">
        <f>'Project Rules'!$B$6</f>
        <v/>
      </c>
      <c r="L41" s="9">
        <f>IF(OR(H41="",I41=""),"",H41-7*I41)</f>
        <v/>
      </c>
      <c r="M41" s="9">
        <f>IF(OR(H41="",I41=""),"",H41-7*(I41+J41+K41))</f>
        <v/>
      </c>
      <c r="N41" s="6" t="n"/>
      <c r="O41" s="6" t="n"/>
      <c r="P41" s="7" t="inlineStr">
        <is>
          <t>Not Started</t>
        </is>
      </c>
      <c r="Q41" s="10">
        <f>IF(OR(M41="",P41="Approved",P41="Approved as Noted"),"",M41-TODAY())</f>
        <v/>
      </c>
      <c r="R41" s="4" t="inlineStr">
        <is>
          <t>Spec article</t>
        </is>
      </c>
      <c r="S41" s="11" t="inlineStr"/>
      <c r="T41" s="4" t="inlineStr">
        <is>
          <t>Dust- and HVAC-Control Plan: Submit coordination drawing and narrative that indicates the dust- and HVAC-control measures proposed for use, proposed locations, and proposed time frame for their operation. Include the following: 1. Locations of dust-control partitions at each phase of work. 2. HVAC system isolation schematic drawing. 3. Location of proposed air-filtration system discharge. 4. Waste-handling procedures. 5. Other dust-control measures.</t>
        </is>
      </c>
    </row>
    <row r="42">
      <c r="A42" s="4" t="inlineStr">
        <is>
          <t>015000.07</t>
        </is>
      </c>
      <c r="B42" s="4" t="n">
        <v>0</v>
      </c>
      <c r="C42" s="5" t="inlineStr">
        <is>
          <t>Noise and Vibration Control Plan: Identify construction activities that may impact the occupancy and use of existing spaces within the building or adjacent existing...</t>
        </is>
      </c>
      <c r="D42" s="4" t="inlineStr">
        <is>
          <t>01 50 00</t>
        </is>
      </c>
      <c r="E42" s="5" t="inlineStr">
        <is>
          <t>Temporary Facilities And Controls</t>
        </is>
      </c>
      <c r="F42" s="4" t="inlineStr">
        <is>
          <t>REPORT</t>
        </is>
      </c>
      <c r="G42" s="4" t="inlineStr">
        <is>
          <t>1.3.G p.71</t>
        </is>
      </c>
      <c r="H42" s="6" t="n"/>
      <c r="I42" s="7" t="inlineStr"/>
      <c r="J42" s="8">
        <f>'Project Rules'!$B$5</f>
        <v/>
      </c>
      <c r="K42" s="8">
        <f>'Project Rules'!$B$6</f>
        <v/>
      </c>
      <c r="L42" s="9">
        <f>IF(OR(H42="",I42=""),"",H42-7*I42)</f>
        <v/>
      </c>
      <c r="M42" s="9">
        <f>IF(OR(H42="",I42=""),"",H42-7*(I42+J42+K42))</f>
        <v/>
      </c>
      <c r="N42" s="6" t="n"/>
      <c r="O42" s="6" t="n"/>
      <c r="P42" s="7" t="inlineStr">
        <is>
          <t>Not Started</t>
        </is>
      </c>
      <c r="Q42" s="10">
        <f>IF(OR(M42="",P42="Approved",P42="Approved as Noted"),"",M42-TODAY())</f>
        <v/>
      </c>
      <c r="R42" s="4" t="inlineStr">
        <is>
          <t>Spec article</t>
        </is>
      </c>
      <c r="S42" s="11" t="inlineStr"/>
      <c r="T42" s="4" t="inlineStr">
        <is>
          <t>Noise and Vibration Control Plan: Identify construction activities that may impact the occupancy and use of existing spaces within the building or adjacent existing buildings, whether occupied by others, or occupied by the Owner. Include the following: 1. Methods used to meet the goals and requirements of the Owner. 2. Concrete cutting method(s) to be used. 3. Location of construction devices on the site.</t>
        </is>
      </c>
    </row>
    <row r="43">
      <c r="A43" s="4" t="inlineStr">
        <is>
          <t>015719.01</t>
        </is>
      </c>
      <c r="B43" s="4" t="n">
        <v>0</v>
      </c>
      <c r="C43" s="5" t="inlineStr">
        <is>
          <t>Progress Schedules: Submit work areas and procedure schedules for containment of airborne contaminants.</t>
        </is>
      </c>
      <c r="D43" s="4" t="inlineStr">
        <is>
          <t>01 57 19</t>
        </is>
      </c>
      <c r="E43" s="5" t="inlineStr">
        <is>
          <t>Temporary Environmental Controls</t>
        </is>
      </c>
      <c r="F43" s="4" t="inlineStr">
        <is>
          <t>SCHED</t>
        </is>
      </c>
      <c r="G43" s="4" t="inlineStr">
        <is>
          <t>1.4.A p.79</t>
        </is>
      </c>
      <c r="H43" s="6" t="n"/>
      <c r="I43" s="7" t="inlineStr"/>
      <c r="J43" s="8">
        <f>'Project Rules'!$B$5</f>
        <v/>
      </c>
      <c r="K43" s="8">
        <f>'Project Rules'!$B$6</f>
        <v/>
      </c>
      <c r="L43" s="9">
        <f>IF(OR(H43="",I43=""),"",H43-7*I43)</f>
        <v/>
      </c>
      <c r="M43" s="9">
        <f>IF(OR(H43="",I43=""),"",H43-7*(I43+J43+K43))</f>
        <v/>
      </c>
      <c r="N43" s="6" t="n"/>
      <c r="O43" s="6" t="n"/>
      <c r="P43" s="7" t="inlineStr">
        <is>
          <t>Not Started</t>
        </is>
      </c>
      <c r="Q43" s="10">
        <f>IF(OR(M43="",P43="Approved",P43="Approved as Noted"),"",M43-TODAY())</f>
        <v/>
      </c>
      <c r="R43" s="4" t="inlineStr">
        <is>
          <t>Spec article</t>
        </is>
      </c>
      <c r="S43" s="11" t="inlineStr"/>
      <c r="T43" s="4" t="inlineStr">
        <is>
          <t>Progress Schedules: Submit work areas and procedure schedules for containment of airborne contaminants. Refer to Section 013100.</t>
        </is>
      </c>
    </row>
    <row r="44">
      <c r="A44" s="4" t="inlineStr">
        <is>
          <t>015719.02</t>
        </is>
      </c>
      <c r="B44" s="4" t="n">
        <v>0</v>
      </c>
      <c r="C44" s="5" t="inlineStr">
        <is>
          <t>Work Plan: Drawings and details of construction of necessary temporary barriers and description of procedures to be used to achieve and maintain control of...</t>
        </is>
      </c>
      <c r="D44" s="4" t="inlineStr">
        <is>
          <t>01 57 19</t>
        </is>
      </c>
      <c r="E44" s="5" t="inlineStr">
        <is>
          <t>Temporary Environmental Controls</t>
        </is>
      </c>
      <c r="F44" s="4" t="inlineStr">
        <is>
          <t>REPORT</t>
        </is>
      </c>
      <c r="G44" s="4" t="inlineStr">
        <is>
          <t>1.4.B p.79</t>
        </is>
      </c>
      <c r="H44" s="6" t="n"/>
      <c r="I44" s="7" t="inlineStr"/>
      <c r="J44" s="8">
        <f>'Project Rules'!$B$5</f>
        <v/>
      </c>
      <c r="K44" s="8">
        <f>'Project Rules'!$B$6</f>
        <v/>
      </c>
      <c r="L44" s="9">
        <f>IF(OR(H44="",I44=""),"",H44-7*I44)</f>
        <v/>
      </c>
      <c r="M44" s="9">
        <f>IF(OR(H44="",I44=""),"",H44-7*(I44+J44+K44))</f>
        <v/>
      </c>
      <c r="N44" s="6" t="n"/>
      <c r="O44" s="6" t="n"/>
      <c r="P44" s="7" t="inlineStr">
        <is>
          <t>Not Started</t>
        </is>
      </c>
      <c r="Q44" s="10">
        <f>IF(OR(M44="",P44="Approved",P44="Approved as Noted"),"",M44-TODAY())</f>
        <v/>
      </c>
      <c r="R44" s="4" t="inlineStr">
        <is>
          <t>Spec article</t>
        </is>
      </c>
      <c r="S44" s="11" t="inlineStr"/>
      <c r="T44" s="4" t="inlineStr">
        <is>
          <t>Work Plan: Drawings and details of construction of necessary temporary barriers and description of procedures to be used to achieve and maintain control of construction-related airborne contaminants.</t>
        </is>
      </c>
    </row>
    <row r="45">
      <c r="A45" s="4" t="inlineStr">
        <is>
          <t>015719.03</t>
        </is>
      </c>
      <c r="B45" s="4" t="n">
        <v>0</v>
      </c>
      <c r="C45" s="5" t="inlineStr">
        <is>
          <t>Product data for HVAC cleaning equipment, cleaning chemicals, duct access doors and labels</t>
        </is>
      </c>
      <c r="D45" s="4" t="inlineStr">
        <is>
          <t>01 57 19</t>
        </is>
      </c>
      <c r="E45" s="5" t="inlineStr">
        <is>
          <t>Temporary Environmental Controls</t>
        </is>
      </c>
      <c r="F45" s="4" t="inlineStr">
        <is>
          <t>PD</t>
        </is>
      </c>
      <c r="G45" s="4" t="inlineStr">
        <is>
          <t>1.4.C p.79</t>
        </is>
      </c>
      <c r="H45" s="6" t="n"/>
      <c r="I45" s="7" t="inlineStr"/>
      <c r="J45" s="8">
        <f>'Project Rules'!$B$5</f>
        <v/>
      </c>
      <c r="K45" s="8">
        <f>'Project Rules'!$B$6</f>
        <v/>
      </c>
      <c r="L45" s="9">
        <f>IF(OR(H45="",I45=""),"",H45-7*I45)</f>
        <v/>
      </c>
      <c r="M45" s="9">
        <f>IF(OR(H45="",I45=""),"",H45-7*(I45+J45+K45))</f>
        <v/>
      </c>
      <c r="N45" s="6" t="n"/>
      <c r="O45" s="6" t="n"/>
      <c r="P45" s="7" t="inlineStr">
        <is>
          <t>Not Started</t>
        </is>
      </c>
      <c r="Q45" s="10">
        <f>IF(OR(M45="",P45="Approved",P45="Approved as Noted"),"",M45-TODAY())</f>
        <v/>
      </c>
      <c r="R45" s="4" t="inlineStr">
        <is>
          <t>Spec article (merged)</t>
        </is>
      </c>
      <c r="S45" s="11" t="inlineStr"/>
      <c r="T45" s="4" t="inlineStr">
        <is>
          <t>Vacuum cleaning machines, air compressors, pressure washers, and cleaning related equipment accessories. Biocide sanitizing fluid, coil cleaning solutions, degreasers, encapsulators. Duct access doors, access panels. Labels.</t>
        </is>
      </c>
    </row>
    <row r="46">
      <c r="A46" s="4" t="inlineStr">
        <is>
          <t>015719.04</t>
        </is>
      </c>
      <c r="B46" s="4" t="n">
        <v>0</v>
      </c>
      <c r="C46" s="5" t="inlineStr">
        <is>
          <t>Record Drawings: Upon completion of the project, submit one set of red-marked duct layout drawings showing the location of new access holes and openings installed in the...</t>
        </is>
      </c>
      <c r="D46" s="4" t="inlineStr">
        <is>
          <t>01 57 19</t>
        </is>
      </c>
      <c r="E46" s="5" t="inlineStr">
        <is>
          <t>Temporary Environmental Controls</t>
        </is>
      </c>
      <c r="F46" s="4" t="inlineStr">
        <is>
          <t>RECORD+SD</t>
        </is>
      </c>
      <c r="G46" s="4" t="inlineStr">
        <is>
          <t>1.4.D p.79</t>
        </is>
      </c>
      <c r="H46" s="6" t="n"/>
      <c r="I46" s="7" t="inlineStr"/>
      <c r="J46" s="8">
        <f>'Project Rules'!$B$5</f>
        <v/>
      </c>
      <c r="K46" s="8">
        <f>'Project Rules'!$B$6</f>
        <v/>
      </c>
      <c r="L46" s="9">
        <f>IF(OR(H46="",I46=""),"",H46-7*I46)</f>
        <v/>
      </c>
      <c r="M46" s="9">
        <f>IF(OR(H46="",I46=""),"",H46-7*(I46+J46+K46))</f>
        <v/>
      </c>
      <c r="N46" s="6" t="n"/>
      <c r="O46" s="6" t="n"/>
      <c r="P46" s="7" t="inlineStr">
        <is>
          <t>Not Started</t>
        </is>
      </c>
      <c r="Q46" s="10">
        <f>IF(OR(M46="",P46="Approved",P46="Approved as Noted"),"",M46-TODAY())</f>
        <v/>
      </c>
      <c r="R46" s="4" t="inlineStr">
        <is>
          <t>Spec article</t>
        </is>
      </c>
      <c r="S46" s="11" t="inlineStr"/>
      <c r="T46" s="4" t="inlineStr">
        <is>
          <t>Record Drawings: Upon completion of the project, submit one set of red-marked duct layout drawings showing the location of new access holes and openings installed in the duct systems to accommodate the cleaning process.</t>
        </is>
      </c>
    </row>
    <row r="47">
      <c r="A47" s="4" t="inlineStr">
        <is>
          <t>015719.05</t>
        </is>
      </c>
      <c r="B47" s="4" t="n">
        <v>0</v>
      </c>
      <c r="C47" s="5" t="inlineStr">
        <is>
          <t>Test Reports: Written results of testing specified in Part 3.</t>
        </is>
      </c>
      <c r="D47" s="4" t="inlineStr">
        <is>
          <t>01 57 19</t>
        </is>
      </c>
      <c r="E47" s="5" t="inlineStr">
        <is>
          <t>Temporary Environmental Controls</t>
        </is>
      </c>
      <c r="F47" s="4" t="inlineStr">
        <is>
          <t>TEST+REPORT</t>
        </is>
      </c>
      <c r="G47" s="4" t="inlineStr">
        <is>
          <t>1.4.E p.79</t>
        </is>
      </c>
      <c r="H47" s="6" t="n"/>
      <c r="I47" s="7" t="inlineStr"/>
      <c r="J47" s="8">
        <f>'Project Rules'!$B$5</f>
        <v/>
      </c>
      <c r="K47" s="8">
        <f>'Project Rules'!$B$6</f>
        <v/>
      </c>
      <c r="L47" s="9">
        <f>IF(OR(H47="",I47=""),"",H47-7*I47)</f>
        <v/>
      </c>
      <c r="M47" s="9">
        <f>IF(OR(H47="",I47=""),"",H47-7*(I47+J47+K47))</f>
        <v/>
      </c>
      <c r="N47" s="6" t="n"/>
      <c r="O47" s="6" t="n"/>
      <c r="P47" s="7" t="inlineStr">
        <is>
          <t>Not Started</t>
        </is>
      </c>
      <c r="Q47" s="10">
        <f>IF(OR(M47="",P47="Approved",P47="Approved as Noted"),"",M47-TODAY())</f>
        <v/>
      </c>
      <c r="R47" s="4" t="inlineStr">
        <is>
          <t>Spec article</t>
        </is>
      </c>
      <c r="S47" s="11" t="inlineStr"/>
      <c r="T47" s="4" t="inlineStr">
        <is>
          <t>Test Reports: Written results of testing specified in Part 3.</t>
        </is>
      </c>
    </row>
    <row r="48">
      <c r="A48" s="4" t="inlineStr">
        <is>
          <t>017300.01</t>
        </is>
      </c>
      <c r="B48" s="4" t="n">
        <v>0</v>
      </c>
      <c r="C48" s="5" t="inlineStr">
        <is>
          <t>Qualification Data: For land surveyor.</t>
        </is>
      </c>
      <c r="D48" s="4" t="inlineStr">
        <is>
          <t>01 73 00</t>
        </is>
      </c>
      <c r="E48" s="5" t="inlineStr">
        <is>
          <t>Execution</t>
        </is>
      </c>
      <c r="F48" s="4" t="inlineStr">
        <is>
          <t>CERT+REPORT</t>
        </is>
      </c>
      <c r="G48" s="4" t="inlineStr">
        <is>
          <t>1.4.A p.89</t>
        </is>
      </c>
      <c r="H48" s="6" t="n"/>
      <c r="I48" s="7" t="inlineStr"/>
      <c r="J48" s="8">
        <f>'Project Rules'!$B$5</f>
        <v/>
      </c>
      <c r="K48" s="8">
        <f>'Project Rules'!$B$6</f>
        <v/>
      </c>
      <c r="L48" s="9">
        <f>IF(OR(H48="",I48=""),"",H48-7*I48)</f>
        <v/>
      </c>
      <c r="M48" s="9">
        <f>IF(OR(H48="",I48=""),"",H48-7*(I48+J48+K48))</f>
        <v/>
      </c>
      <c r="N48" s="6" t="n"/>
      <c r="O48" s="6" t="n"/>
      <c r="P48" s="7" t="inlineStr">
        <is>
          <t>Not Started</t>
        </is>
      </c>
      <c r="Q48" s="10">
        <f>IF(OR(M48="",P48="Approved",P48="Approved as Noted"),"",M48-TODAY())</f>
        <v/>
      </c>
      <c r="R48" s="4" t="inlineStr">
        <is>
          <t>Spec article</t>
        </is>
      </c>
      <c r="S48" s="11" t="inlineStr"/>
      <c r="T48" s="4" t="inlineStr">
        <is>
          <t>Qualification Data: For land surveyor.</t>
        </is>
      </c>
    </row>
    <row r="49">
      <c r="A49" s="4" t="inlineStr">
        <is>
          <t>017300.02</t>
        </is>
      </c>
      <c r="B49" s="4" t="n">
        <v>0</v>
      </c>
      <c r="C49" s="5" t="inlineStr">
        <is>
          <t>Certified Surveys: Submit two copies signed by land surveyor.</t>
        </is>
      </c>
      <c r="D49" s="4" t="inlineStr">
        <is>
          <t>01 73 00</t>
        </is>
      </c>
      <c r="E49" s="5" t="inlineStr">
        <is>
          <t>Execution</t>
        </is>
      </c>
      <c r="F49" s="4" t="inlineStr">
        <is>
          <t>REPORT</t>
        </is>
      </c>
      <c r="G49" s="4" t="inlineStr">
        <is>
          <t>1.4.B p.89</t>
        </is>
      </c>
      <c r="H49" s="6" t="n"/>
      <c r="I49" s="7" t="inlineStr"/>
      <c r="J49" s="8">
        <f>'Project Rules'!$B$5</f>
        <v/>
      </c>
      <c r="K49" s="8">
        <f>'Project Rules'!$B$6</f>
        <v/>
      </c>
      <c r="L49" s="9">
        <f>IF(OR(H49="",I49=""),"",H49-7*I49)</f>
        <v/>
      </c>
      <c r="M49" s="9">
        <f>IF(OR(H49="",I49=""),"",H49-7*(I49+J49+K49))</f>
        <v/>
      </c>
      <c r="N49" s="6" t="n"/>
      <c r="O49" s="6" t="n"/>
      <c r="P49" s="7" t="inlineStr">
        <is>
          <t>Not Started</t>
        </is>
      </c>
      <c r="Q49" s="10">
        <f>IF(OR(M49="",P49="Approved",P49="Approved as Noted"),"",M49-TODAY())</f>
        <v/>
      </c>
      <c r="R49" s="4" t="inlineStr">
        <is>
          <t>Spec article</t>
        </is>
      </c>
      <c r="S49" s="11" t="inlineStr"/>
      <c r="T49" s="4" t="inlineStr">
        <is>
          <t>Certified Surveys: Submit two copies signed by land surveyor.</t>
        </is>
      </c>
    </row>
    <row r="50">
      <c r="A50" s="4" t="inlineStr">
        <is>
          <t>017300.03</t>
        </is>
      </c>
      <c r="B50" s="4" t="n">
        <v>0</v>
      </c>
      <c r="C50" s="5" t="inlineStr">
        <is>
          <t>Final Property Survey: Submit 10 copies showing the Work performed and record survey data.</t>
        </is>
      </c>
      <c r="D50" s="4" t="inlineStr">
        <is>
          <t>01 73 00</t>
        </is>
      </c>
      <c r="E50" s="5" t="inlineStr">
        <is>
          <t>Execution</t>
        </is>
      </c>
      <c r="F50" s="4" t="inlineStr">
        <is>
          <t>REPORT</t>
        </is>
      </c>
      <c r="G50" s="4" t="inlineStr">
        <is>
          <t>1.5.A p.90</t>
        </is>
      </c>
      <c r="H50" s="6" t="n"/>
      <c r="I50" s="7" t="inlineStr"/>
      <c r="J50" s="8">
        <f>'Project Rules'!$B$5</f>
        <v/>
      </c>
      <c r="K50" s="8">
        <f>'Project Rules'!$B$6</f>
        <v/>
      </c>
      <c r="L50" s="9">
        <f>IF(OR(H50="",I50=""),"",H50-7*I50)</f>
        <v/>
      </c>
      <c r="M50" s="9">
        <f>IF(OR(H50="",I50=""),"",H50-7*(I50+J50+K50))</f>
        <v/>
      </c>
      <c r="N50" s="6" t="n"/>
      <c r="O50" s="6" t="n"/>
      <c r="P50" s="7" t="inlineStr">
        <is>
          <t>Not Started</t>
        </is>
      </c>
      <c r="Q50" s="10">
        <f>IF(OR(M50="",P50="Approved",P50="Approved as Noted"),"",M50-TODAY())</f>
        <v/>
      </c>
      <c r="R50" s="4" t="inlineStr">
        <is>
          <t>Spec article</t>
        </is>
      </c>
      <c r="S50" s="11" t="inlineStr"/>
      <c r="T50" s="4" t="inlineStr">
        <is>
          <t>Final Property Survey: Submit 10 copies showing the Work performed and record survey data.</t>
        </is>
      </c>
    </row>
    <row r="51">
      <c r="A51" s="4" t="inlineStr">
        <is>
          <t>017700.01</t>
        </is>
      </c>
      <c r="B51" s="4" t="n">
        <v>0</v>
      </c>
      <c r="C51" s="5" t="inlineStr">
        <is>
          <t>Project warranties assembled as one bookmarked PDF with table of contents</t>
        </is>
      </c>
      <c r="D51" s="4" t="inlineStr">
        <is>
          <t>01 77 00</t>
        </is>
      </c>
      <c r="E51" s="5" t="inlineStr">
        <is>
          <t>Closeout Procedures</t>
        </is>
      </c>
      <c r="F51" s="4" t="inlineStr">
        <is>
          <t>WARR</t>
        </is>
      </c>
      <c r="G51" s="4" t="inlineStr">
        <is>
          <t>1.10.C p.98</t>
        </is>
      </c>
      <c r="H51" s="6" t="n"/>
      <c r="I51" s="7" t="inlineStr"/>
      <c r="J51" s="8">
        <f>'Project Rules'!$B$5</f>
        <v/>
      </c>
      <c r="K51" s="8">
        <f>'Project Rules'!$B$6</f>
        <v/>
      </c>
      <c r="L51" s="9">
        <f>IF(OR(H51="",I51=""),"",H51-7*I51)</f>
        <v/>
      </c>
      <c r="M51" s="9">
        <f>IF(OR(H51="",I51=""),"",H51-7*(I51+J51+K51))</f>
        <v/>
      </c>
      <c r="N51" s="6" t="n"/>
      <c r="O51" s="6" t="n"/>
      <c r="P51" s="7" t="inlineStr">
        <is>
          <t>Not Started</t>
        </is>
      </c>
      <c r="Q51" s="10">
        <f>IF(OR(M51="",P51="Approved",P51="Approved as Noted"),"",M51-TODAY())</f>
        <v/>
      </c>
      <c r="R51" s="4" t="inlineStr">
        <is>
          <t>Added by Claude</t>
        </is>
      </c>
      <c r="S51" s="11" t="inlineStr">
        <is>
          <t>Upload to project software; provide extra copies for O&amp;M manuals</t>
        </is>
      </c>
      <c r="T51" s="4" t="inlineStr">
        <is>
          <t>Provide warranties and bonds in PDF format. Assemble complete warranty and bond submittal package into a single electronic PDF file with bookmarks.</t>
        </is>
      </c>
    </row>
    <row r="52">
      <c r="A52" s="4" t="inlineStr">
        <is>
          <t>017700.02</t>
        </is>
      </c>
      <c r="B52" s="4" t="n">
        <v>0</v>
      </c>
      <c r="C52" s="5" t="inlineStr">
        <is>
          <t>Product Data: For each type of cleaning agent.</t>
        </is>
      </c>
      <c r="D52" s="4" t="inlineStr">
        <is>
          <t>01 77 00</t>
        </is>
      </c>
      <c r="E52" s="5" t="inlineStr">
        <is>
          <t>Closeout Procedures</t>
        </is>
      </c>
      <c r="F52" s="4" t="inlineStr">
        <is>
          <t>PD</t>
        </is>
      </c>
      <c r="G52" s="4" t="inlineStr">
        <is>
          <t>1.3.A p.96</t>
        </is>
      </c>
      <c r="H52" s="6" t="n"/>
      <c r="I52" s="7" t="inlineStr"/>
      <c r="J52" s="8">
        <f>'Project Rules'!$B$5</f>
        <v/>
      </c>
      <c r="K52" s="8">
        <f>'Project Rules'!$B$6</f>
        <v/>
      </c>
      <c r="L52" s="9">
        <f>IF(OR(H52="",I52=""),"",H52-7*I52)</f>
        <v/>
      </c>
      <c r="M52" s="9">
        <f>IF(OR(H52="",I52=""),"",H52-7*(I52+J52+K52))</f>
        <v/>
      </c>
      <c r="N52" s="6" t="n"/>
      <c r="O52" s="6" t="n"/>
      <c r="P52" s="7" t="inlineStr">
        <is>
          <t>Not Started</t>
        </is>
      </c>
      <c r="Q52" s="10">
        <f>IF(OR(M52="",P52="Approved",P52="Approved as Noted"),"",M52-TODAY())</f>
        <v/>
      </c>
      <c r="R52" s="4" t="inlineStr">
        <is>
          <t>Spec article</t>
        </is>
      </c>
      <c r="S52" s="11" t="inlineStr"/>
      <c r="T52" s="4" t="inlineStr">
        <is>
          <t>Product Data: For each type of cleaning agent.</t>
        </is>
      </c>
    </row>
    <row r="53">
      <c r="A53" s="4" t="inlineStr">
        <is>
          <t>017700.03</t>
        </is>
      </c>
      <c r="B53" s="4" t="n">
        <v>0</v>
      </c>
      <c r="C53" s="5" t="inlineStr">
        <is>
          <t>Contractor's List of Incomplete Items: Initial submittal at Substantial Completion.</t>
        </is>
      </c>
      <c r="D53" s="4" t="inlineStr">
        <is>
          <t>01 77 00</t>
        </is>
      </c>
      <c r="E53" s="5" t="inlineStr">
        <is>
          <t>Closeout Procedures</t>
        </is>
      </c>
      <c r="F53" s="4" t="inlineStr">
        <is>
          <t>REPORT</t>
        </is>
      </c>
      <c r="G53" s="4" t="inlineStr">
        <is>
          <t>1.3.B p.96</t>
        </is>
      </c>
      <c r="H53" s="6" t="n"/>
      <c r="I53" s="7" t="inlineStr"/>
      <c r="J53" s="8">
        <f>'Project Rules'!$B$5</f>
        <v/>
      </c>
      <c r="K53" s="8">
        <f>'Project Rules'!$B$6</f>
        <v/>
      </c>
      <c r="L53" s="9">
        <f>IF(OR(H53="",I53=""),"",H53-7*I53)</f>
        <v/>
      </c>
      <c r="M53" s="9">
        <f>IF(OR(H53="",I53=""),"",H53-7*(I53+J53+K53))</f>
        <v/>
      </c>
      <c r="N53" s="6" t="n"/>
      <c r="O53" s="6" t="n"/>
      <c r="P53" s="7" t="inlineStr">
        <is>
          <t>Not Started</t>
        </is>
      </c>
      <c r="Q53" s="10">
        <f>IF(OR(M53="",P53="Approved",P53="Approved as Noted"),"",M53-TODAY())</f>
        <v/>
      </c>
      <c r="R53" s="4" t="inlineStr">
        <is>
          <t>Spec article</t>
        </is>
      </c>
      <c r="S53" s="11" t="inlineStr"/>
      <c r="T53" s="4" t="inlineStr">
        <is>
          <t>Contractor's List of Incomplete Items: Initial submittal at Substantial Completion.</t>
        </is>
      </c>
    </row>
    <row r="54">
      <c r="A54" s="4" t="inlineStr">
        <is>
          <t>017700.04</t>
        </is>
      </c>
      <c r="B54" s="4" t="n">
        <v>0</v>
      </c>
      <c r="C54" s="5" t="inlineStr">
        <is>
          <t>Certified List of Incomplete Items: Final submittal at Final Completion.</t>
        </is>
      </c>
      <c r="D54" s="4" t="inlineStr">
        <is>
          <t>01 77 00</t>
        </is>
      </c>
      <c r="E54" s="5" t="inlineStr">
        <is>
          <t>Closeout Procedures</t>
        </is>
      </c>
      <c r="F54" s="4" t="inlineStr">
        <is>
          <t>REPORT</t>
        </is>
      </c>
      <c r="G54" s="4" t="inlineStr">
        <is>
          <t>1.3.C p.96</t>
        </is>
      </c>
      <c r="H54" s="6" t="n"/>
      <c r="I54" s="7" t="inlineStr"/>
      <c r="J54" s="8">
        <f>'Project Rules'!$B$5</f>
        <v/>
      </c>
      <c r="K54" s="8">
        <f>'Project Rules'!$B$6</f>
        <v/>
      </c>
      <c r="L54" s="9">
        <f>IF(OR(H54="",I54=""),"",H54-7*I54)</f>
        <v/>
      </c>
      <c r="M54" s="9">
        <f>IF(OR(H54="",I54=""),"",H54-7*(I54+J54+K54))</f>
        <v/>
      </c>
      <c r="N54" s="6" t="n"/>
      <c r="O54" s="6" t="n"/>
      <c r="P54" s="7" t="inlineStr">
        <is>
          <t>Not Started</t>
        </is>
      </c>
      <c r="Q54" s="10">
        <f>IF(OR(M54="",P54="Approved",P54="Approved as Noted"),"",M54-TODAY())</f>
        <v/>
      </c>
      <c r="R54" s="4" t="inlineStr">
        <is>
          <t>Spec article</t>
        </is>
      </c>
      <c r="S54" s="11" t="inlineStr"/>
      <c r="T54" s="4" t="inlineStr">
        <is>
          <t>Certified List of Incomplete Items: Final submittal at Final Completion.</t>
        </is>
      </c>
    </row>
    <row r="55">
      <c r="A55" s="4" t="inlineStr">
        <is>
          <t>017700.05</t>
        </is>
      </c>
      <c r="B55" s="4" t="n">
        <v>0</v>
      </c>
      <c r="C55" s="5" t="inlineStr">
        <is>
          <t>Certificates of Release: From authorities having jurisdiction.</t>
        </is>
      </c>
      <c r="D55" s="4" t="inlineStr">
        <is>
          <t>01 77 00</t>
        </is>
      </c>
      <c r="E55" s="5" t="inlineStr">
        <is>
          <t>Closeout Procedures</t>
        </is>
      </c>
      <c r="F55" s="4" t="inlineStr">
        <is>
          <t>CERT</t>
        </is>
      </c>
      <c r="G55" s="4" t="inlineStr">
        <is>
          <t>1.4.A p.96</t>
        </is>
      </c>
      <c r="H55" s="6" t="n"/>
      <c r="I55" s="7" t="inlineStr"/>
      <c r="J55" s="8">
        <f>'Project Rules'!$B$5</f>
        <v/>
      </c>
      <c r="K55" s="8">
        <f>'Project Rules'!$B$6</f>
        <v/>
      </c>
      <c r="L55" s="9">
        <f>IF(OR(H55="",I55=""),"",H55-7*I55)</f>
        <v/>
      </c>
      <c r="M55" s="9">
        <f>IF(OR(H55="",I55=""),"",H55-7*(I55+J55+K55))</f>
        <v/>
      </c>
      <c r="N55" s="6" t="n"/>
      <c r="O55" s="6" t="n"/>
      <c r="P55" s="7" t="inlineStr">
        <is>
          <t>Not Started</t>
        </is>
      </c>
      <c r="Q55" s="10">
        <f>IF(OR(M55="",P55="Approved",P55="Approved as Noted"),"",M55-TODAY())</f>
        <v/>
      </c>
      <c r="R55" s="4" t="inlineStr">
        <is>
          <t>Spec article</t>
        </is>
      </c>
      <c r="S55" s="11" t="inlineStr"/>
      <c r="T55" s="4" t="inlineStr">
        <is>
          <t>Certificates of Release: From authorities having jurisdiction.</t>
        </is>
      </c>
    </row>
    <row r="56">
      <c r="A56" s="4" t="inlineStr">
        <is>
          <t>017700.06</t>
        </is>
      </c>
      <c r="B56" s="4" t="n">
        <v>0</v>
      </c>
      <c r="C56" s="5" t="inlineStr">
        <is>
          <t>Certificate of Insurance: For continuing coverage.</t>
        </is>
      </c>
      <c r="D56" s="4" t="inlineStr">
        <is>
          <t>01 77 00</t>
        </is>
      </c>
      <c r="E56" s="5" t="inlineStr">
        <is>
          <t>Closeout Procedures</t>
        </is>
      </c>
      <c r="F56" s="4" t="inlineStr">
        <is>
          <t>CERT</t>
        </is>
      </c>
      <c r="G56" s="4" t="inlineStr">
        <is>
          <t>1.4.B p.96</t>
        </is>
      </c>
      <c r="H56" s="6" t="n"/>
      <c r="I56" s="7" t="inlineStr"/>
      <c r="J56" s="8">
        <f>'Project Rules'!$B$5</f>
        <v/>
      </c>
      <c r="K56" s="8">
        <f>'Project Rules'!$B$6</f>
        <v/>
      </c>
      <c r="L56" s="9">
        <f>IF(OR(H56="",I56=""),"",H56-7*I56)</f>
        <v/>
      </c>
      <c r="M56" s="9">
        <f>IF(OR(H56="",I56=""),"",H56-7*(I56+J56+K56))</f>
        <v/>
      </c>
      <c r="N56" s="6" t="n"/>
      <c r="O56" s="6" t="n"/>
      <c r="P56" s="7" t="inlineStr">
        <is>
          <t>Not Started</t>
        </is>
      </c>
      <c r="Q56" s="10">
        <f>IF(OR(M56="",P56="Approved",P56="Approved as Noted"),"",M56-TODAY())</f>
        <v/>
      </c>
      <c r="R56" s="4" t="inlineStr">
        <is>
          <t>Spec article</t>
        </is>
      </c>
      <c r="S56" s="11" t="inlineStr"/>
      <c r="T56" s="4" t="inlineStr">
        <is>
          <t>Certificate of Insurance: For continuing coverage.</t>
        </is>
      </c>
    </row>
    <row r="57">
      <c r="A57" s="4" t="inlineStr">
        <is>
          <t>017700.07</t>
        </is>
      </c>
      <c r="B57" s="4" t="n">
        <v>0</v>
      </c>
      <c r="C57" s="5" t="inlineStr">
        <is>
          <t>Field Report: For pest-control inspection.</t>
        </is>
      </c>
      <c r="D57" s="4" t="inlineStr">
        <is>
          <t>01 77 00</t>
        </is>
      </c>
      <c r="E57" s="5" t="inlineStr">
        <is>
          <t>Closeout Procedures</t>
        </is>
      </c>
      <c r="F57" s="4" t="inlineStr">
        <is>
          <t>REPORT</t>
        </is>
      </c>
      <c r="G57" s="4" t="inlineStr">
        <is>
          <t>1.4.C p.96</t>
        </is>
      </c>
      <c r="H57" s="6" t="n"/>
      <c r="I57" s="7" t="inlineStr"/>
      <c r="J57" s="8">
        <f>'Project Rules'!$B$5</f>
        <v/>
      </c>
      <c r="K57" s="8">
        <f>'Project Rules'!$B$6</f>
        <v/>
      </c>
      <c r="L57" s="9">
        <f>IF(OR(H57="",I57=""),"",H57-7*I57)</f>
        <v/>
      </c>
      <c r="M57" s="9">
        <f>IF(OR(H57="",I57=""),"",H57-7*(I57+J57+K57))</f>
        <v/>
      </c>
      <c r="N57" s="6" t="n"/>
      <c r="O57" s="6" t="n"/>
      <c r="P57" s="7" t="inlineStr">
        <is>
          <t>Not Started</t>
        </is>
      </c>
      <c r="Q57" s="10">
        <f>IF(OR(M57="",P57="Approved",P57="Approved as Noted"),"",M57-TODAY())</f>
        <v/>
      </c>
      <c r="R57" s="4" t="inlineStr">
        <is>
          <t>Spec article</t>
        </is>
      </c>
      <c r="S57" s="11" t="inlineStr"/>
      <c r="T57" s="4" t="inlineStr">
        <is>
          <t>Field Report: For pest-control inspection.</t>
        </is>
      </c>
    </row>
    <row r="58">
      <c r="A58" s="4" t="inlineStr">
        <is>
          <t>017700.08</t>
        </is>
      </c>
      <c r="B58" s="4" t="n">
        <v>0</v>
      </c>
      <c r="C58" s="5" t="inlineStr">
        <is>
          <t>Schedule of Maintenance Material Items: For maintenance material submittal items required by other Sections.</t>
        </is>
      </c>
      <c r="D58" s="4" t="inlineStr">
        <is>
          <t>01 77 00</t>
        </is>
      </c>
      <c r="E58" s="5" t="inlineStr">
        <is>
          <t>Closeout Procedures</t>
        </is>
      </c>
      <c r="F58" s="4" t="inlineStr">
        <is>
          <t>SCHED</t>
        </is>
      </c>
      <c r="G58" s="4" t="inlineStr">
        <is>
          <t>1.5.A p.96</t>
        </is>
      </c>
      <c r="H58" s="6" t="n"/>
      <c r="I58" s="7" t="inlineStr"/>
      <c r="J58" s="8">
        <f>'Project Rules'!$B$5</f>
        <v/>
      </c>
      <c r="K58" s="8">
        <f>'Project Rules'!$B$6</f>
        <v/>
      </c>
      <c r="L58" s="9">
        <f>IF(OR(H58="",I58=""),"",H58-7*I58)</f>
        <v/>
      </c>
      <c r="M58" s="9">
        <f>IF(OR(H58="",I58=""),"",H58-7*(I58+J58+K58))</f>
        <v/>
      </c>
      <c r="N58" s="6" t="n"/>
      <c r="O58" s="6" t="n"/>
      <c r="P58" s="7" t="inlineStr">
        <is>
          <t>Not Started</t>
        </is>
      </c>
      <c r="Q58" s="10">
        <f>IF(OR(M58="",P58="Approved",P58="Approved as Noted"),"",M58-TODAY())</f>
        <v/>
      </c>
      <c r="R58" s="4" t="inlineStr">
        <is>
          <t>Spec article</t>
        </is>
      </c>
      <c r="S58" s="11" t="inlineStr"/>
      <c r="T58" s="4" t="inlineStr">
        <is>
          <t>Schedule of Maintenance Material Items: For maintenance material submittal items required by other Sections.</t>
        </is>
      </c>
    </row>
    <row r="59">
      <c r="A59" s="4" t="inlineStr">
        <is>
          <t>017700.09</t>
        </is>
      </c>
      <c r="B59" s="4" t="n">
        <v>0</v>
      </c>
      <c r="C59" s="5" t="inlineStr">
        <is>
          <t>Contractor's list of incomplete items (punch list) at Substantial Completion, with value of each item</t>
        </is>
      </c>
      <c r="D59" s="4" t="inlineStr">
        <is>
          <t>01 77 00</t>
        </is>
      </c>
      <c r="E59" s="5" t="inlineStr">
        <is>
          <t>Closeout Procedures</t>
        </is>
      </c>
      <c r="F59" s="4" t="inlineStr">
        <is>
          <t>REPORT</t>
        </is>
      </c>
      <c r="G59" s="4" t="inlineStr">
        <is>
          <t>1.7.A p.96</t>
        </is>
      </c>
      <c r="H59" s="6" t="n"/>
      <c r="I59" s="7" t="inlineStr"/>
      <c r="J59" s="8">
        <f>'Project Rules'!$B$5</f>
        <v/>
      </c>
      <c r="K59" s="8">
        <f>'Project Rules'!$B$6</f>
        <v/>
      </c>
      <c r="L59" s="9">
        <f>IF(OR(H59="",I59=""),"",H59-7*I59)</f>
        <v/>
      </c>
      <c r="M59" s="9">
        <f>IF(OR(H59="",I59=""),"",H59-7*(I59+J59+K59))</f>
        <v/>
      </c>
      <c r="N59" s="6" t="n"/>
      <c r="O59" s="6" t="n"/>
      <c r="P59" s="7" t="inlineStr">
        <is>
          <t>Not Started</t>
        </is>
      </c>
      <c r="Q59" s="10">
        <f>IF(OR(M59="",P59="Approved",P59="Approved as Noted"),"",M59-TODAY())</f>
        <v/>
      </c>
      <c r="R59" s="4" t="inlineStr">
        <is>
          <t>Added by Claude</t>
        </is>
      </c>
      <c r="S59" s="11" t="inlineStr">
        <is>
          <t>At Substantial Completion</t>
        </is>
      </c>
      <c r="T59" s="4" t="inlineStr">
        <is>
          <t>Prepare and submit a list of items to be completed and corrected, indicating the value of each item and reasons why the Work is incomplete.</t>
        </is>
      </c>
    </row>
    <row r="60">
      <c r="A60" s="4" t="inlineStr">
        <is>
          <t>017700.10</t>
        </is>
      </c>
      <c r="B60" s="4" t="n">
        <v>0</v>
      </c>
      <c r="C60" s="5" t="inlineStr">
        <is>
          <t>Closeout submittals before Substantial Completion: warranties, bonds, maintenance agreements, final certifications</t>
        </is>
      </c>
      <c r="D60" s="4" t="inlineStr">
        <is>
          <t>01 77 00</t>
        </is>
      </c>
      <c r="E60" s="5" t="inlineStr">
        <is>
          <t>Closeout Procedures</t>
        </is>
      </c>
      <c r="F60" s="4" t="inlineStr">
        <is>
          <t>WARR</t>
        </is>
      </c>
      <c r="G60" s="4" t="inlineStr">
        <is>
          <t>1.7.B.3 p.97</t>
        </is>
      </c>
      <c r="H60" s="6" t="n"/>
      <c r="I60" s="7" t="inlineStr"/>
      <c r="J60" s="8">
        <f>'Project Rules'!$B$5</f>
        <v/>
      </c>
      <c r="K60" s="8">
        <f>'Project Rules'!$B$6</f>
        <v/>
      </c>
      <c r="L60" s="9">
        <f>IF(OR(H60="",I60=""),"",H60-7*I60)</f>
        <v/>
      </c>
      <c r="M60" s="9">
        <f>IF(OR(H60="",I60=""),"",H60-7*(I60+J60+K60))</f>
        <v/>
      </c>
      <c r="N60" s="6" t="n"/>
      <c r="O60" s="6" t="n"/>
      <c r="P60" s="7" t="inlineStr">
        <is>
          <t>Not Started</t>
        </is>
      </c>
      <c r="Q60" s="10">
        <f>IF(OR(M60="",P60="Approved",P60="Approved as Noted"),"",M60-TODAY())</f>
        <v/>
      </c>
      <c r="R60" s="4" t="inlineStr">
        <is>
          <t>Added by Claude</t>
        </is>
      </c>
      <c r="S60" s="11" t="inlineStr">
        <is>
          <t>Due 10 days before requesting Substantial Completion inspection</t>
        </is>
      </c>
      <c r="T60" s="4" t="inlineStr">
        <is>
          <t>Submit closeout submittals specified in individual Sections, including specific warranties, workmanship bonds, maintenance service agreements, final certifications, and similar documents.</t>
        </is>
      </c>
    </row>
    <row r="61">
      <c r="A61" s="4" t="inlineStr">
        <is>
          <t>017700.11</t>
        </is>
      </c>
      <c r="B61" s="4" t="n">
        <v>0</v>
      </c>
      <c r="C61" s="5" t="inlineStr">
        <is>
          <t>Maintenance materials: tools, spare parts and extra materials delivered to Owner, with signed receipt</t>
        </is>
      </c>
      <c r="D61" s="4" t="inlineStr">
        <is>
          <t>01 77 00</t>
        </is>
      </c>
      <c r="E61" s="5" t="inlineStr">
        <is>
          <t>Closeout Procedures</t>
        </is>
      </c>
      <c r="F61" s="4" t="inlineStr">
        <is>
          <t>OM</t>
        </is>
      </c>
      <c r="G61" s="4" t="inlineStr">
        <is>
          <t>1.7.B.4 p.97</t>
        </is>
      </c>
      <c r="H61" s="6" t="n"/>
      <c r="I61" s="7" t="inlineStr"/>
      <c r="J61" s="8">
        <f>'Project Rules'!$B$5</f>
        <v/>
      </c>
      <c r="K61" s="8">
        <f>'Project Rules'!$B$6</f>
        <v/>
      </c>
      <c r="L61" s="9">
        <f>IF(OR(H61="",I61=""),"",H61-7*I61)</f>
        <v/>
      </c>
      <c r="M61" s="9">
        <f>IF(OR(H61="",I61=""),"",H61-7*(I61+J61+K61))</f>
        <v/>
      </c>
      <c r="N61" s="6" t="n"/>
      <c r="O61" s="6" t="n"/>
      <c r="P61" s="7" t="inlineStr">
        <is>
          <t>Not Started</t>
        </is>
      </c>
      <c r="Q61" s="10">
        <f>IF(OR(M61="",P61="Approved",P61="Approved as Noted"),"",M61-TODAY())</f>
        <v/>
      </c>
      <c r="R61" s="4" t="inlineStr">
        <is>
          <t>Added by Claude</t>
        </is>
      </c>
      <c r="S61" s="11" t="inlineStr">
        <is>
          <t>Due 10 days before requesting Substantial Completion inspection</t>
        </is>
      </c>
      <c r="T61" s="4" t="inlineStr">
        <is>
          <t>Submit maintenance material submittals specified in individual Sections, including tools, spare parts, extra materials, and similar items, and deliver to location designated by Architect.</t>
        </is>
      </c>
    </row>
    <row r="62">
      <c r="A62" s="4" t="inlineStr">
        <is>
          <t>017700.12</t>
        </is>
      </c>
      <c r="B62" s="4" t="n">
        <v>0</v>
      </c>
      <c r="C62" s="5" t="inlineStr">
        <is>
          <t>Testing, adjusting and balancing records</t>
        </is>
      </c>
      <c r="D62" s="4" t="inlineStr">
        <is>
          <t>01 77 00</t>
        </is>
      </c>
      <c r="E62" s="5" t="inlineStr">
        <is>
          <t>Closeout Procedures</t>
        </is>
      </c>
      <c r="F62" s="4" t="inlineStr">
        <is>
          <t>TEST</t>
        </is>
      </c>
      <c r="G62" s="4" t="inlineStr">
        <is>
          <t>1.7.B.5 p.97</t>
        </is>
      </c>
      <c r="H62" s="6" t="n"/>
      <c r="I62" s="7" t="inlineStr"/>
      <c r="J62" s="8">
        <f>'Project Rules'!$B$5</f>
        <v/>
      </c>
      <c r="K62" s="8">
        <f>'Project Rules'!$B$6</f>
        <v/>
      </c>
      <c r="L62" s="9">
        <f>IF(OR(H62="",I62=""),"",H62-7*I62)</f>
        <v/>
      </c>
      <c r="M62" s="9">
        <f>IF(OR(H62="",I62=""),"",H62-7*(I62+J62+K62))</f>
        <v/>
      </c>
      <c r="N62" s="6" t="n"/>
      <c r="O62" s="6" t="n"/>
      <c r="P62" s="7" t="inlineStr">
        <is>
          <t>Not Started</t>
        </is>
      </c>
      <c r="Q62" s="10">
        <f>IF(OR(M62="",P62="Approved",P62="Approved as Noted"),"",M62-TODAY())</f>
        <v/>
      </c>
      <c r="R62" s="4" t="inlineStr">
        <is>
          <t>Added by Claude</t>
        </is>
      </c>
      <c r="S62" s="11" t="inlineStr">
        <is>
          <t>Due 10 days before requesting Substantial Completion inspection</t>
        </is>
      </c>
      <c r="T62" s="4" t="inlineStr">
        <is>
          <t>Submit testing, adjusting, and balancing records.</t>
        </is>
      </c>
    </row>
    <row r="63">
      <c r="A63" s="4" t="inlineStr">
        <is>
          <t>017700.13</t>
        </is>
      </c>
      <c r="B63" s="4" t="n">
        <v>0</v>
      </c>
      <c r="C63" s="5" t="inlineStr">
        <is>
          <t>Changeover information for Owner's occupancy, use, operation and maintenance</t>
        </is>
      </c>
      <c r="D63" s="4" t="inlineStr">
        <is>
          <t>01 77 00</t>
        </is>
      </c>
      <c r="E63" s="5" t="inlineStr">
        <is>
          <t>Closeout Procedures</t>
        </is>
      </c>
      <c r="F63" s="4" t="inlineStr">
        <is>
          <t>REPORT</t>
        </is>
      </c>
      <c r="G63" s="4" t="inlineStr">
        <is>
          <t>1.7.B.6 p.97</t>
        </is>
      </c>
      <c r="H63" s="6" t="n"/>
      <c r="I63" s="7" t="inlineStr"/>
      <c r="J63" s="8">
        <f>'Project Rules'!$B$5</f>
        <v/>
      </c>
      <c r="K63" s="8">
        <f>'Project Rules'!$B$6</f>
        <v/>
      </c>
      <c r="L63" s="9">
        <f>IF(OR(H63="",I63=""),"",H63-7*I63)</f>
        <v/>
      </c>
      <c r="M63" s="9">
        <f>IF(OR(H63="",I63=""),"",H63-7*(I63+J63+K63))</f>
        <v/>
      </c>
      <c r="N63" s="6" t="n"/>
      <c r="O63" s="6" t="n"/>
      <c r="P63" s="7" t="inlineStr">
        <is>
          <t>Not Started</t>
        </is>
      </c>
      <c r="Q63" s="10">
        <f>IF(OR(M63="",P63="Approved",P63="Approved as Noted"),"",M63-TODAY())</f>
        <v/>
      </c>
      <c r="R63" s="4" t="inlineStr">
        <is>
          <t>Added by Claude</t>
        </is>
      </c>
      <c r="S63" s="11" t="inlineStr">
        <is>
          <t>Due 10 days before requesting Substantial Completion inspection</t>
        </is>
      </c>
      <c r="T63" s="4" t="inlineStr">
        <is>
          <t>Submit changeover information related to Owner's occupancy, use, operation, and maintenance.</t>
        </is>
      </c>
    </row>
    <row r="64">
      <c r="A64" s="4" t="inlineStr">
        <is>
          <t>017700.14</t>
        </is>
      </c>
      <c r="B64" s="4" t="n">
        <v>0</v>
      </c>
      <c r="C64" s="5" t="inlineStr">
        <is>
          <t>Written request for Substantial Completion inspection (10 days notice)</t>
        </is>
      </c>
      <c r="D64" s="4" t="inlineStr">
        <is>
          <t>01 77 00</t>
        </is>
      </c>
      <c r="E64" s="5" t="inlineStr">
        <is>
          <t>Closeout Procedures</t>
        </is>
      </c>
      <c r="F64" s="4" t="inlineStr">
        <is>
          <t>REPORT</t>
        </is>
      </c>
      <c r="G64" s="4" t="inlineStr">
        <is>
          <t>1.7.D p.97</t>
        </is>
      </c>
      <c r="H64" s="6" t="n"/>
      <c r="I64" s="7" t="inlineStr"/>
      <c r="J64" s="8">
        <f>'Project Rules'!$B$5</f>
        <v/>
      </c>
      <c r="K64" s="8">
        <f>'Project Rules'!$B$6</f>
        <v/>
      </c>
      <c r="L64" s="9">
        <f>IF(OR(H64="",I64=""),"",H64-7*I64)</f>
        <v/>
      </c>
      <c r="M64" s="9">
        <f>IF(OR(H64="",I64=""),"",H64-7*(I64+J64+K64))</f>
        <v/>
      </c>
      <c r="N64" s="6" t="n"/>
      <c r="O64" s="6" t="n"/>
      <c r="P64" s="7" t="inlineStr">
        <is>
          <t>Not Started</t>
        </is>
      </c>
      <c r="Q64" s="10">
        <f>IF(OR(M64="",P64="Approved",P64="Approved as Noted"),"",M64-TODAY())</f>
        <v/>
      </c>
      <c r="R64" s="4" t="inlineStr">
        <is>
          <t>Added by Claude</t>
        </is>
      </c>
      <c r="S64" s="11" t="inlineStr">
        <is>
          <t>10 days before inspection</t>
        </is>
      </c>
      <c r="T64" s="4" t="inlineStr">
        <is>
          <t>Submit a written request for inspection to determine Substantial Completion a minimum of 10 days prior.</t>
        </is>
      </c>
    </row>
    <row r="65">
      <c r="A65" s="4" t="inlineStr">
        <is>
          <t>017700.15</t>
        </is>
      </c>
      <c r="B65" s="4" t="n">
        <v>0</v>
      </c>
      <c r="C65" s="5" t="inlineStr">
        <is>
          <t>Final Completion photographic documentation</t>
        </is>
      </c>
      <c r="D65" s="4" t="inlineStr">
        <is>
          <t>01 77 00</t>
        </is>
      </c>
      <c r="E65" s="5" t="inlineStr">
        <is>
          <t>Closeout Procedures</t>
        </is>
      </c>
      <c r="F65" s="4" t="inlineStr">
        <is>
          <t>REPORT</t>
        </is>
      </c>
      <c r="G65" s="4" t="inlineStr">
        <is>
          <t>1.8.A.5 p.97</t>
        </is>
      </c>
      <c r="H65" s="6" t="n"/>
      <c r="I65" s="7" t="inlineStr"/>
      <c r="J65" s="8">
        <f>'Project Rules'!$B$5</f>
        <v/>
      </c>
      <c r="K65" s="8">
        <f>'Project Rules'!$B$6</f>
        <v/>
      </c>
      <c r="L65" s="9">
        <f>IF(OR(H65="",I65=""),"",H65-7*I65)</f>
        <v/>
      </c>
      <c r="M65" s="9">
        <f>IF(OR(H65="",I65=""),"",H65-7*(I65+J65+K65))</f>
        <v/>
      </c>
      <c r="N65" s="6" t="n"/>
      <c r="O65" s="6" t="n"/>
      <c r="P65" s="7" t="inlineStr">
        <is>
          <t>Not Started</t>
        </is>
      </c>
      <c r="Q65" s="10">
        <f>IF(OR(M65="",P65="Approved",P65="Approved as Noted"),"",M65-TODAY())</f>
        <v/>
      </c>
      <c r="R65" s="4" t="inlineStr">
        <is>
          <t>Added by Claude</t>
        </is>
      </c>
      <c r="S65" s="11" t="inlineStr">
        <is>
          <t>Before Final Completion inspection</t>
        </is>
      </c>
      <c r="T65" s="4" t="inlineStr">
        <is>
          <t>Submit Final Completion photographic documentation.</t>
        </is>
      </c>
    </row>
    <row r="66">
      <c r="A66" s="4" t="inlineStr">
        <is>
          <t>017700.16</t>
        </is>
      </c>
      <c r="B66" s="4" t="n">
        <v>0</v>
      </c>
      <c r="C66" s="5" t="inlineStr">
        <is>
          <t>Written request for final inspection (10 days notice)</t>
        </is>
      </c>
      <c r="D66" s="4" t="inlineStr">
        <is>
          <t>01 77 00</t>
        </is>
      </c>
      <c r="E66" s="5" t="inlineStr">
        <is>
          <t>Closeout Procedures</t>
        </is>
      </c>
      <c r="F66" s="4" t="inlineStr">
        <is>
          <t>REPORT</t>
        </is>
      </c>
      <c r="G66" s="4" t="inlineStr">
        <is>
          <t>1.8.B p.98</t>
        </is>
      </c>
      <c r="H66" s="6" t="n"/>
      <c r="I66" s="7" t="inlineStr"/>
      <c r="J66" s="8">
        <f>'Project Rules'!$B$5</f>
        <v/>
      </c>
      <c r="K66" s="8">
        <f>'Project Rules'!$B$6</f>
        <v/>
      </c>
      <c r="L66" s="9">
        <f>IF(OR(H66="",I66=""),"",H66-7*I66)</f>
        <v/>
      </c>
      <c r="M66" s="9">
        <f>IF(OR(H66="",I66=""),"",H66-7*(I66+J66+K66))</f>
        <v/>
      </c>
      <c r="N66" s="6" t="n"/>
      <c r="O66" s="6" t="n"/>
      <c r="P66" s="7" t="inlineStr">
        <is>
          <t>Not Started</t>
        </is>
      </c>
      <c r="Q66" s="10">
        <f>IF(OR(M66="",P66="Approved",P66="Approved as Noted"),"",M66-TODAY())</f>
        <v/>
      </c>
      <c r="R66" s="4" t="inlineStr">
        <is>
          <t>Added by Claude</t>
        </is>
      </c>
      <c r="S66" s="11" t="inlineStr">
        <is>
          <t>10 days before final inspection</t>
        </is>
      </c>
      <c r="T66" s="4" t="inlineStr">
        <is>
          <t>Submit a written request for final inspection to determine acceptance a minimum of 10 days prior.</t>
        </is>
      </c>
    </row>
    <row r="67">
      <c r="A67" s="4" t="inlineStr">
        <is>
          <t>017823.01</t>
        </is>
      </c>
      <c r="B67" s="4" t="n">
        <v>0</v>
      </c>
      <c r="C67" s="5" t="inlineStr">
        <is>
          <t>Submit operation and maintenance manuals indicated.</t>
        </is>
      </c>
      <c r="D67" s="4" t="inlineStr">
        <is>
          <t>01 78 23</t>
        </is>
      </c>
      <c r="E67" s="5" t="inlineStr">
        <is>
          <t>Operation And Maintenance Data</t>
        </is>
      </c>
      <c r="F67" s="4" t="inlineStr">
        <is>
          <t>OM</t>
        </is>
      </c>
      <c r="G67" s="4" t="inlineStr">
        <is>
          <t>1.3.A p.100</t>
        </is>
      </c>
      <c r="H67" s="6" t="n"/>
      <c r="I67" s="7" t="inlineStr"/>
      <c r="J67" s="8">
        <f>'Project Rules'!$B$5</f>
        <v/>
      </c>
      <c r="K67" s="8">
        <f>'Project Rules'!$B$6</f>
        <v/>
      </c>
      <c r="L67" s="9">
        <f>IF(OR(H67="",I67=""),"",H67-7*I67)</f>
        <v/>
      </c>
      <c r="M67" s="9">
        <f>IF(OR(H67="",I67=""),"",H67-7*(I67+J67+K67))</f>
        <v/>
      </c>
      <c r="N67" s="6" t="n"/>
      <c r="O67" s="6" t="n"/>
      <c r="P67" s="7" t="inlineStr">
        <is>
          <t>Not Started</t>
        </is>
      </c>
      <c r="Q67" s="10">
        <f>IF(OR(M67="",P67="Approved",P67="Approved as Noted"),"",M67-TODAY())</f>
        <v/>
      </c>
      <c r="R67" s="4" t="inlineStr">
        <is>
          <t>Spec article</t>
        </is>
      </c>
      <c r="S67" s="11" t="inlineStr"/>
      <c r="T67" s="4" t="inlineStr">
        <is>
          <t>Submit operation and maintenance manuals indicated. Provide content for each manual as specified in individual Specification Sections, and as reviewed and approved at the time of Section submittals. Submit reviewed manual content formatted and organized as required by this Section. 1. Architect will comment on whether content of operation and maintenance submittals is acceptable. 2. Where applicable, clarify and update reviewed manual content to correspond to revisions and field conditions.</t>
        </is>
      </c>
    </row>
    <row r="68">
      <c r="A68" s="4" t="inlineStr">
        <is>
          <t>017823.02</t>
        </is>
      </c>
      <c r="B68" s="4" t="n">
        <v>0</v>
      </c>
      <c r="C68" s="5" t="inlineStr">
        <is>
          <t>O&amp;M manuals: draft copy at least 30 days before demonstration and training</t>
        </is>
      </c>
      <c r="D68" s="4" t="inlineStr">
        <is>
          <t>01 78 23</t>
        </is>
      </c>
      <c r="E68" s="5" t="inlineStr">
        <is>
          <t>Operation And Maintenance Data</t>
        </is>
      </c>
      <c r="F68" s="4" t="inlineStr">
        <is>
          <t>OM</t>
        </is>
      </c>
      <c r="G68" s="4" t="inlineStr">
        <is>
          <t>1.3.C p.100</t>
        </is>
      </c>
      <c r="H68" s="6" t="n"/>
      <c r="I68" s="7" t="inlineStr"/>
      <c r="J68" s="8">
        <f>'Project Rules'!$B$5</f>
        <v/>
      </c>
      <c r="K68" s="8">
        <f>'Project Rules'!$B$6</f>
        <v/>
      </c>
      <c r="L68" s="9">
        <f>IF(OR(H68="",I68=""),"",H68-7*I68)</f>
        <v/>
      </c>
      <c r="M68" s="9">
        <f>IF(OR(H68="",I68=""),"",H68-7*(I68+J68+K68))</f>
        <v/>
      </c>
      <c r="N68" s="6" t="n"/>
      <c r="O68" s="6" t="n"/>
      <c r="P68" s="7" t="inlineStr">
        <is>
          <t>Not Started</t>
        </is>
      </c>
      <c r="Q68" s="10">
        <f>IF(OR(M68="",P68="Approved",P68="Approved as Noted"),"",M68-TODAY())</f>
        <v/>
      </c>
      <c r="R68" s="4" t="inlineStr">
        <is>
          <t>Spec article</t>
        </is>
      </c>
      <c r="S68" s="11" t="inlineStr"/>
      <c r="T68" s="4" t="inlineStr">
        <is>
          <t>Initial Manual Submittal: Submit draft copy of each manual at least 30 days before commencing demonstration and training. Architect will comment on whether general scope and content of manual are acceptable.</t>
        </is>
      </c>
    </row>
    <row r="69">
      <c r="A69" s="4" t="inlineStr">
        <is>
          <t>017823.03</t>
        </is>
      </c>
      <c r="B69" s="4" t="n">
        <v>0</v>
      </c>
      <c r="C69" s="5" t="inlineStr">
        <is>
          <t>O&amp;M manuals: final form before requesting inspection for Substantial Completion</t>
        </is>
      </c>
      <c r="D69" s="4" t="inlineStr">
        <is>
          <t>01 78 23</t>
        </is>
      </c>
      <c r="E69" s="5" t="inlineStr">
        <is>
          <t>Operation And Maintenance Data</t>
        </is>
      </c>
      <c r="F69" s="4" t="inlineStr">
        <is>
          <t>OM</t>
        </is>
      </c>
      <c r="G69" s="4" t="inlineStr">
        <is>
          <t>1.3.D p.100</t>
        </is>
      </c>
      <c r="H69" s="6" t="n"/>
      <c r="I69" s="7" t="inlineStr"/>
      <c r="J69" s="8">
        <f>'Project Rules'!$B$5</f>
        <v/>
      </c>
      <c r="K69" s="8">
        <f>'Project Rules'!$B$6</f>
        <v/>
      </c>
      <c r="L69" s="9">
        <f>IF(OR(H69="",I69=""),"",H69-7*I69)</f>
        <v/>
      </c>
      <c r="M69" s="9">
        <f>IF(OR(H69="",I69=""),"",H69-7*(I69+J69+K69))</f>
        <v/>
      </c>
      <c r="N69" s="6" t="n"/>
      <c r="O69" s="6" t="n"/>
      <c r="P69" s="7" t="inlineStr">
        <is>
          <t>Not Started</t>
        </is>
      </c>
      <c r="Q69" s="10">
        <f>IF(OR(M69="",P69="Approved",P69="Approved as Noted"),"",M69-TODAY())</f>
        <v/>
      </c>
      <c r="R69" s="4" t="inlineStr">
        <is>
          <t>Spec article</t>
        </is>
      </c>
      <c r="S69" s="11" t="inlineStr"/>
      <c r="T69" s="4" t="inlineStr">
        <is>
          <t>Final Manual Submittal: Submit each manual in final form prior to requesting inspection for Substantial Completion and at least 15 days before commencing demonstration and training. Architect will return copy with comments. 1. Correct or revise each manual to comply with Architect's comments. Submit copies of each corrected manual within 15 days of receipt of Architect's comments and prior to commencing demonstration and training.</t>
        </is>
      </c>
    </row>
    <row r="70">
      <c r="A70" s="4" t="inlineStr">
        <is>
          <t>017839.01</t>
        </is>
      </c>
      <c r="B70" s="4" t="n">
        <v>0</v>
      </c>
      <c r="C70" s="5" t="inlineStr">
        <is>
          <t>Record drawings: marked-up record prints, initial and final submittals</t>
        </is>
      </c>
      <c r="D70" s="4" t="inlineStr">
        <is>
          <t>01 78 39</t>
        </is>
      </c>
      <c r="E70" s="5" t="inlineStr">
        <is>
          <t>Project Record Documents</t>
        </is>
      </c>
      <c r="F70" s="4" t="inlineStr">
        <is>
          <t>RECORD</t>
        </is>
      </c>
      <c r="G70" s="4" t="inlineStr">
        <is>
          <t>1.2.A.1 p.105</t>
        </is>
      </c>
      <c r="H70" s="6" t="n"/>
      <c r="I70" s="7" t="inlineStr"/>
      <c r="J70" s="8">
        <f>'Project Rules'!$B$5</f>
        <v/>
      </c>
      <c r="K70" s="8">
        <f>'Project Rules'!$B$6</f>
        <v/>
      </c>
      <c r="L70" s="9">
        <f>IF(OR(H70="",I70=""),"",H70-7*I70)</f>
        <v/>
      </c>
      <c r="M70" s="9">
        <f>IF(OR(H70="",I70=""),"",H70-7*(I70+J70+K70))</f>
        <v/>
      </c>
      <c r="N70" s="6" t="n"/>
      <c r="O70" s="6" t="n"/>
      <c r="P70" s="7" t="inlineStr">
        <is>
          <t>Not Started</t>
        </is>
      </c>
      <c r="Q70" s="10">
        <f>IF(OR(M70="",P70="Approved",P70="Approved as Noted"),"",M70-TODAY())</f>
        <v/>
      </c>
      <c r="R70" s="4" t="inlineStr">
        <is>
          <t>Spec article</t>
        </is>
      </c>
      <c r="S70" s="11" t="inlineStr"/>
      <c r="T70" s="4" t="inlineStr">
        <is>
          <t>Number of Copies: Submit one set(s) of marked-up record prints.</t>
        </is>
      </c>
    </row>
    <row r="71">
      <c r="A71" s="4" t="inlineStr">
        <is>
          <t>017839.02</t>
        </is>
      </c>
      <c r="B71" s="4" t="n">
        <v>0</v>
      </c>
      <c r="C71" s="5" t="inlineStr">
        <is>
          <t>Record Specifications: Submit annotated PDF electronic files of Project's Specifications, including addenda and Contract modifications.</t>
        </is>
      </c>
      <c r="D71" s="4" t="inlineStr">
        <is>
          <t>01 78 39</t>
        </is>
      </c>
      <c r="E71" s="5" t="inlineStr">
        <is>
          <t>Project Record Documents</t>
        </is>
      </c>
      <c r="F71" s="4" t="inlineStr">
        <is>
          <t>RECORD</t>
        </is>
      </c>
      <c r="G71" s="4" t="inlineStr">
        <is>
          <t>1.2.B p.105</t>
        </is>
      </c>
      <c r="H71" s="6" t="n"/>
      <c r="I71" s="7" t="inlineStr"/>
      <c r="J71" s="8">
        <f>'Project Rules'!$B$5</f>
        <v/>
      </c>
      <c r="K71" s="8">
        <f>'Project Rules'!$B$6</f>
        <v/>
      </c>
      <c r="L71" s="9">
        <f>IF(OR(H71="",I71=""),"",H71-7*I71)</f>
        <v/>
      </c>
      <c r="M71" s="9">
        <f>IF(OR(H71="",I71=""),"",H71-7*(I71+J71+K71))</f>
        <v/>
      </c>
      <c r="N71" s="6" t="n"/>
      <c r="O71" s="6" t="n"/>
      <c r="P71" s="7" t="inlineStr">
        <is>
          <t>Not Started</t>
        </is>
      </c>
      <c r="Q71" s="10">
        <f>IF(OR(M71="",P71="Approved",P71="Approved as Noted"),"",M71-TODAY())</f>
        <v/>
      </c>
      <c r="R71" s="4" t="inlineStr">
        <is>
          <t>Spec article</t>
        </is>
      </c>
      <c r="S71" s="11" t="inlineStr"/>
      <c r="T71" s="4" t="inlineStr">
        <is>
          <t>Record Specifications: Submit annotated PDF electronic files of Project's Specifications, including addenda and Contract modifications.</t>
        </is>
      </c>
    </row>
    <row r="72">
      <c r="A72" s="4" t="inlineStr">
        <is>
          <t>017839.03</t>
        </is>
      </c>
      <c r="B72" s="4" t="n">
        <v>0</v>
      </c>
      <c r="C72" s="5" t="inlineStr">
        <is>
          <t>Record Product Data: Submit annotated PDF electronic files and directories of each submittal.</t>
        </is>
      </c>
      <c r="D72" s="4" t="inlineStr">
        <is>
          <t>01 78 39</t>
        </is>
      </c>
      <c r="E72" s="5" t="inlineStr">
        <is>
          <t>Project Record Documents</t>
        </is>
      </c>
      <c r="F72" s="4" t="inlineStr">
        <is>
          <t>RECORD</t>
        </is>
      </c>
      <c r="G72" s="4" t="inlineStr">
        <is>
          <t>1.2.C p.105</t>
        </is>
      </c>
      <c r="H72" s="6" t="n"/>
      <c r="I72" s="7" t="inlineStr"/>
      <c r="J72" s="8">
        <f>'Project Rules'!$B$5</f>
        <v/>
      </c>
      <c r="K72" s="8">
        <f>'Project Rules'!$B$6</f>
        <v/>
      </c>
      <c r="L72" s="9">
        <f>IF(OR(H72="",I72=""),"",H72-7*I72)</f>
        <v/>
      </c>
      <c r="M72" s="9">
        <f>IF(OR(H72="",I72=""),"",H72-7*(I72+J72+K72))</f>
        <v/>
      </c>
      <c r="N72" s="6" t="n"/>
      <c r="O72" s="6" t="n"/>
      <c r="P72" s="7" t="inlineStr">
        <is>
          <t>Not Started</t>
        </is>
      </c>
      <c r="Q72" s="10">
        <f>IF(OR(M72="",P72="Approved",P72="Approved as Noted"),"",M72-TODAY())</f>
        <v/>
      </c>
      <c r="R72" s="4" t="inlineStr">
        <is>
          <t>Spec article</t>
        </is>
      </c>
      <c r="S72" s="11" t="inlineStr"/>
      <c r="T72" s="4" t="inlineStr">
        <is>
          <t>Record Product Data: Submit annotated PDF electronic files and directories of each submittal. 1. Where record Product Data are required as part of operation and maintenance manuals, submit duplicate marked-up Product Data as a component of manual.</t>
        </is>
      </c>
    </row>
    <row r="73">
      <c r="A73" s="4" t="inlineStr">
        <is>
          <t>017839.04</t>
        </is>
      </c>
      <c r="B73" s="4" t="n">
        <v>0</v>
      </c>
      <c r="C73" s="5" t="inlineStr">
        <is>
          <t>Report of items incorporated into Project Record Documents</t>
        </is>
      </c>
      <c r="D73" s="4" t="inlineStr">
        <is>
          <t>01 78 39</t>
        </is>
      </c>
      <c r="E73" s="5" t="inlineStr">
        <is>
          <t>Project Record Documents</t>
        </is>
      </c>
      <c r="F73" s="4" t="inlineStr">
        <is>
          <t>RECORD</t>
        </is>
      </c>
      <c r="G73" s="4" t="inlineStr">
        <is>
          <t>1.2.E p.105</t>
        </is>
      </c>
      <c r="H73" s="6" t="n"/>
      <c r="I73" s="7" t="inlineStr"/>
      <c r="J73" s="8">
        <f>'Project Rules'!$B$5</f>
        <v/>
      </c>
      <c r="K73" s="8">
        <f>'Project Rules'!$B$6</f>
        <v/>
      </c>
      <c r="L73" s="9">
        <f>IF(OR(H73="",I73=""),"",H73-7*I73)</f>
        <v/>
      </c>
      <c r="M73" s="9">
        <f>IF(OR(H73="",I73=""),"",H73-7*(I73+J73+K73))</f>
        <v/>
      </c>
      <c r="N73" s="6" t="n"/>
      <c r="O73" s="6" t="n"/>
      <c r="P73" s="7" t="inlineStr">
        <is>
          <t>Not Started</t>
        </is>
      </c>
      <c r="Q73" s="10">
        <f>IF(OR(M73="",P73="Approved",P73="Approved as Noted"),"",M73-TODAY())</f>
        <v/>
      </c>
      <c r="R73" s="4" t="inlineStr">
        <is>
          <t>Spec article</t>
        </is>
      </c>
      <c r="S73" s="11" t="inlineStr"/>
      <c r="T73" s="4" t="inlineStr">
        <is>
          <t>Reports: Submit written report indicating items incorporated into Project Record Documents concurrent with progress of the Work, including revisions, concealed conditions, field changes, product selections, and other notations incorporated.</t>
        </is>
      </c>
    </row>
    <row r="74">
      <c r="A74" s="4" t="inlineStr">
        <is>
          <t>017900.01</t>
        </is>
      </c>
      <c r="B74" s="4" t="n">
        <v>0</v>
      </c>
      <c r="C74" s="5" t="inlineStr">
        <is>
          <t>Instruction Program: Submit outline of instructional program for demonstration and training, including a list of training modules and a schedule of proposed dates,...</t>
        </is>
      </c>
      <c r="D74" s="4" t="inlineStr">
        <is>
          <t>01 79 00</t>
        </is>
      </c>
      <c r="E74" s="5" t="inlineStr">
        <is>
          <t>Demonstration And Training</t>
        </is>
      </c>
      <c r="F74" s="4" t="inlineStr">
        <is>
          <t>SCHED</t>
        </is>
      </c>
      <c r="G74" s="4" t="inlineStr">
        <is>
          <t>1.2.A p.108</t>
        </is>
      </c>
      <c r="H74" s="6" t="n"/>
      <c r="I74" s="7" t="inlineStr"/>
      <c r="J74" s="8">
        <f>'Project Rules'!$B$5</f>
        <v/>
      </c>
      <c r="K74" s="8">
        <f>'Project Rules'!$B$6</f>
        <v/>
      </c>
      <c r="L74" s="9">
        <f>IF(OR(H74="",I74=""),"",H74-7*I74)</f>
        <v/>
      </c>
      <c r="M74" s="9">
        <f>IF(OR(H74="",I74=""),"",H74-7*(I74+J74+K74))</f>
        <v/>
      </c>
      <c r="N74" s="6" t="n"/>
      <c r="O74" s="6" t="n"/>
      <c r="P74" s="7" t="inlineStr">
        <is>
          <t>Not Started</t>
        </is>
      </c>
      <c r="Q74" s="10">
        <f>IF(OR(M74="",P74="Approved",P74="Approved as Noted"),"",M74-TODAY())</f>
        <v/>
      </c>
      <c r="R74" s="4" t="inlineStr">
        <is>
          <t>Spec article</t>
        </is>
      </c>
      <c r="S74" s="11" t="inlineStr"/>
      <c r="T74" s="4" t="inlineStr">
        <is>
          <t>Instruction Program: Submit outline of instructional program for demonstration and training, including a list of training modules and a schedule of proposed dates, times, length of instruction time, and instructors' names for each training module. Include learning objective and outline for each training module. 1. Indicate proposed training modules using manufacturer-produced demonstration and training video recordings for systems, equipment, and products in lieu of video recording of live instructional module.</t>
        </is>
      </c>
    </row>
    <row r="75">
      <c r="A75" s="4" t="inlineStr">
        <is>
          <t>017900.02</t>
        </is>
      </c>
      <c r="B75" s="4" t="n">
        <v>0</v>
      </c>
      <c r="C75" s="5" t="inlineStr">
        <is>
          <t>Attendance Record: For each training module, submit list of participants and length of instruction time.</t>
        </is>
      </c>
      <c r="D75" s="4" t="inlineStr">
        <is>
          <t>01 79 00</t>
        </is>
      </c>
      <c r="E75" s="5" t="inlineStr">
        <is>
          <t>Demonstration And Training</t>
        </is>
      </c>
      <c r="F75" s="4" t="inlineStr">
        <is>
          <t>RECORD</t>
        </is>
      </c>
      <c r="G75" s="4" t="inlineStr">
        <is>
          <t>1.2.B p.108</t>
        </is>
      </c>
      <c r="H75" s="6" t="n"/>
      <c r="I75" s="7" t="inlineStr"/>
      <c r="J75" s="8">
        <f>'Project Rules'!$B$5</f>
        <v/>
      </c>
      <c r="K75" s="8">
        <f>'Project Rules'!$B$6</f>
        <v/>
      </c>
      <c r="L75" s="9">
        <f>IF(OR(H75="",I75=""),"",H75-7*I75)</f>
        <v/>
      </c>
      <c r="M75" s="9">
        <f>IF(OR(H75="",I75=""),"",H75-7*(I75+J75+K75))</f>
        <v/>
      </c>
      <c r="N75" s="6" t="n"/>
      <c r="O75" s="6" t="n"/>
      <c r="P75" s="7" t="inlineStr">
        <is>
          <t>Not Started</t>
        </is>
      </c>
      <c r="Q75" s="10">
        <f>IF(OR(M75="",P75="Approved",P75="Approved as Noted"),"",M75-TODAY())</f>
        <v/>
      </c>
      <c r="R75" s="4" t="inlineStr">
        <is>
          <t>Spec article</t>
        </is>
      </c>
      <c r="S75" s="11" t="inlineStr"/>
      <c r="T75" s="4" t="inlineStr">
        <is>
          <t>Attendance Record: For each training module, submit list of participants and length of instruction time.</t>
        </is>
      </c>
    </row>
    <row r="76">
      <c r="A76" s="4" t="inlineStr">
        <is>
          <t>017900.03</t>
        </is>
      </c>
      <c r="B76" s="4" t="n">
        <v>0</v>
      </c>
      <c r="C76" s="5" t="inlineStr">
        <is>
          <t>Evaluations: For each participant and for each training module, submit results and documentation of performance-based test.</t>
        </is>
      </c>
      <c r="D76" s="4" t="inlineStr">
        <is>
          <t>01 79 00</t>
        </is>
      </c>
      <c r="E76" s="5" t="inlineStr">
        <is>
          <t>Demonstration And Training</t>
        </is>
      </c>
      <c r="F76" s="4" t="inlineStr">
        <is>
          <t>RECORD</t>
        </is>
      </c>
      <c r="G76" s="4" t="inlineStr">
        <is>
          <t>1.2.C p.108</t>
        </is>
      </c>
      <c r="H76" s="6" t="n"/>
      <c r="I76" s="7" t="inlineStr"/>
      <c r="J76" s="8">
        <f>'Project Rules'!$B$5</f>
        <v/>
      </c>
      <c r="K76" s="8">
        <f>'Project Rules'!$B$6</f>
        <v/>
      </c>
      <c r="L76" s="9">
        <f>IF(OR(H76="",I76=""),"",H76-7*I76)</f>
        <v/>
      </c>
      <c r="M76" s="9">
        <f>IF(OR(H76="",I76=""),"",H76-7*(I76+J76+K76))</f>
        <v/>
      </c>
      <c r="N76" s="6" t="n"/>
      <c r="O76" s="6" t="n"/>
      <c r="P76" s="7" t="inlineStr">
        <is>
          <t>Not Started</t>
        </is>
      </c>
      <c r="Q76" s="10">
        <f>IF(OR(M76="",P76="Approved",P76="Approved as Noted"),"",M76-TODAY())</f>
        <v/>
      </c>
      <c r="R76" s="4" t="inlineStr">
        <is>
          <t>Spec article</t>
        </is>
      </c>
      <c r="S76" s="11" t="inlineStr"/>
      <c r="T76" s="4" t="inlineStr">
        <is>
          <t>Evaluations: For each participant and for each training module, submit results and documentation of performance-based test.</t>
        </is>
      </c>
    </row>
    <row r="77">
      <c r="A77" s="4" t="inlineStr">
        <is>
          <t>017900.04</t>
        </is>
      </c>
      <c r="B77" s="4" t="n">
        <v>0</v>
      </c>
      <c r="C77" s="5" t="inlineStr">
        <is>
          <t>Demonstration and Training Video Recordings: Submit two copies within seven days of end of each training module.</t>
        </is>
      </c>
      <c r="D77" s="4" t="inlineStr">
        <is>
          <t>01 79 00</t>
        </is>
      </c>
      <c r="E77" s="5" t="inlineStr">
        <is>
          <t>Demonstration And Training</t>
        </is>
      </c>
      <c r="F77" s="4" t="inlineStr">
        <is>
          <t>REPORT</t>
        </is>
      </c>
      <c r="G77" s="4" t="inlineStr">
        <is>
          <t>1.3.A p.108</t>
        </is>
      </c>
      <c r="H77" s="6" t="n"/>
      <c r="I77" s="7" t="inlineStr"/>
      <c r="J77" s="8">
        <f>'Project Rules'!$B$5</f>
        <v/>
      </c>
      <c r="K77" s="8">
        <f>'Project Rules'!$B$6</f>
        <v/>
      </c>
      <c r="L77" s="9">
        <f>IF(OR(H77="",I77=""),"",H77-7*I77)</f>
        <v/>
      </c>
      <c r="M77" s="9">
        <f>IF(OR(H77="",I77=""),"",H77-7*(I77+J77+K77))</f>
        <v/>
      </c>
      <c r="N77" s="6" t="n"/>
      <c r="O77" s="6" t="n"/>
      <c r="P77" s="7" t="inlineStr">
        <is>
          <t>Not Started</t>
        </is>
      </c>
      <c r="Q77" s="10">
        <f>IF(OR(M77="",P77="Approved",P77="Approved as Noted"),"",M77-TODAY())</f>
        <v/>
      </c>
      <c r="R77" s="4" t="inlineStr">
        <is>
          <t>Spec article</t>
        </is>
      </c>
      <c r="S77" s="11" t="inlineStr"/>
      <c r="T77" s="4" t="inlineStr">
        <is>
          <t>Demonstration and Training Video Recordings: Submit two copies within seven days of end of each training module. 1. Identification: On each copy, provide an applied label with the following information: a. Name of Project. b. Name and address of videographer. c. Name of Architect. d. Name of Contractor. e. Date of video recording. 2. Transcript: Prepared and bound in format matching operation and maintenance manuals. Mark appropriate identification on front and spine of each binder. Include a cover sheet with same label information as the corresponding video recording. Include name of Project and date of video recording on each page. 3. At completion of training, submit complete training manual(s) for Owner's use prepared in same PDF file format required for operation and maintenance manuals specified in Section 017823 "Operation and Maintenance Data."</t>
        </is>
      </c>
    </row>
    <row r="78">
      <c r="A78" s="4" t="inlineStr">
        <is>
          <t>024121.01</t>
        </is>
      </c>
      <c r="B78" s="4" t="n">
        <v>0</v>
      </c>
      <c r="C78" s="5" t="inlineStr">
        <is>
          <t>Work Plan Approval Request form for work outside the construction area (2 weeks in advance)</t>
        </is>
      </c>
      <c r="D78" s="4" t="inlineStr">
        <is>
          <t>02 41 21</t>
        </is>
      </c>
      <c r="E78" s="5" t="inlineStr">
        <is>
          <t>Work At Existing Facility</t>
        </is>
      </c>
      <c r="F78" s="4" t="inlineStr">
        <is>
          <t>REPORT</t>
        </is>
      </c>
      <c r="G78" s="4" t="inlineStr">
        <is>
          <t>3.1.B.1 p.122</t>
        </is>
      </c>
      <c r="H78" s="6" t="n"/>
      <c r="I78" s="7" t="inlineStr"/>
      <c r="J78" s="8">
        <f>'Project Rules'!$B$5</f>
        <v/>
      </c>
      <c r="K78" s="8">
        <f>'Project Rules'!$B$6</f>
        <v/>
      </c>
      <c r="L78" s="9">
        <f>IF(OR(H78="",I78=""),"",H78-7*I78)</f>
        <v/>
      </c>
      <c r="M78" s="9">
        <f>IF(OR(H78="",I78=""),"",H78-7*(I78+J78+K78))</f>
        <v/>
      </c>
      <c r="N78" s="6" t="n"/>
      <c r="O78" s="6" t="n"/>
      <c r="P78" s="7" t="inlineStr">
        <is>
          <t>Not Started</t>
        </is>
      </c>
      <c r="Q78" s="10">
        <f>IF(OR(M78="",P78="Approved",P78="Approved as Noted"),"",M78-TODAY())</f>
        <v/>
      </c>
      <c r="R78" s="4" t="inlineStr">
        <is>
          <t>Added by Claude</t>
        </is>
      </c>
      <c r="S78" s="11" t="inlineStr">
        <is>
          <t>Recurring, each time; due 2 weeks before the work</t>
        </is>
      </c>
      <c r="T78" s="4" t="inlineStr">
        <is>
          <t>The Contractor shall submit a "Work Plan Approval Request" form for all work to be performed outside the designated construction area at least two (2) weeks in advance of the proposed portion of work.</t>
        </is>
      </c>
    </row>
    <row r="79">
      <c r="A79" s="4" t="inlineStr">
        <is>
          <t>024121.02</t>
        </is>
      </c>
      <c r="B79" s="4" t="n">
        <v>0</v>
      </c>
      <c r="C79" s="5" t="inlineStr">
        <is>
          <t>Outage Request form (2 weeks in advance), with proposed plan for review</t>
        </is>
      </c>
      <c r="D79" s="4" t="inlineStr">
        <is>
          <t>02 41 21</t>
        </is>
      </c>
      <c r="E79" s="5" t="inlineStr">
        <is>
          <t>Work At Existing Facility</t>
        </is>
      </c>
      <c r="F79" s="4" t="inlineStr">
        <is>
          <t>REPORT</t>
        </is>
      </c>
      <c r="G79" s="4" t="inlineStr">
        <is>
          <t>3.1.B.2-3 p.122</t>
        </is>
      </c>
      <c r="H79" s="6" t="n"/>
      <c r="I79" s="7" t="inlineStr"/>
      <c r="J79" s="8">
        <f>'Project Rules'!$B$5</f>
        <v/>
      </c>
      <c r="K79" s="8">
        <f>'Project Rules'!$B$6</f>
        <v/>
      </c>
      <c r="L79" s="9">
        <f>IF(OR(H79="",I79=""),"",H79-7*I79)</f>
        <v/>
      </c>
      <c r="M79" s="9">
        <f>IF(OR(H79="",I79=""),"",H79-7*(I79+J79+K79))</f>
        <v/>
      </c>
      <c r="N79" s="6" t="n"/>
      <c r="O79" s="6" t="n"/>
      <c r="P79" s="7" t="inlineStr">
        <is>
          <t>Not Started</t>
        </is>
      </c>
      <c r="Q79" s="10">
        <f>IF(OR(M79="",P79="Approved",P79="Approved as Noted"),"",M79-TODAY())</f>
        <v/>
      </c>
      <c r="R79" s="4" t="inlineStr">
        <is>
          <t>Added by Claude</t>
        </is>
      </c>
      <c r="S79" s="11" t="inlineStr">
        <is>
          <t>Recurring, each outage; due 2 weeks before the outage</t>
        </is>
      </c>
      <c r="T79" s="4" t="inlineStr">
        <is>
          <t>The Contractor shall submit an "Outage Request" form at least two (2) weeks in advance of the proposed outage, with a detailed plan for the affected work or system.</t>
        </is>
      </c>
    </row>
    <row r="80">
      <c r="A80" s="4" t="inlineStr">
        <is>
          <t>035416.01</t>
        </is>
      </c>
      <c r="B80" s="4" t="n">
        <v>0</v>
      </c>
      <c r="C80" s="5" t="inlineStr">
        <is>
          <t>Product Data: For each type of product.</t>
        </is>
      </c>
      <c r="D80" s="4" t="inlineStr">
        <is>
          <t>03 54 16</t>
        </is>
      </c>
      <c r="E80" s="5" t="inlineStr">
        <is>
          <t>Hydraulic Cement Underlayment</t>
        </is>
      </c>
      <c r="F80" s="4" t="inlineStr">
        <is>
          <t>PD</t>
        </is>
      </c>
      <c r="G80" s="4" t="inlineStr">
        <is>
          <t>1.2.A p.127</t>
        </is>
      </c>
      <c r="H80" s="6" t="n"/>
      <c r="I80" s="7" t="inlineStr"/>
      <c r="J80" s="8">
        <f>'Project Rules'!$B$5</f>
        <v/>
      </c>
      <c r="K80" s="8">
        <f>'Project Rules'!$B$6</f>
        <v/>
      </c>
      <c r="L80" s="9">
        <f>IF(OR(H80="",I80=""),"",H80-7*I80)</f>
        <v/>
      </c>
      <c r="M80" s="9">
        <f>IF(OR(H80="",I80=""),"",H80-7*(I80+J80+K80))</f>
        <v/>
      </c>
      <c r="N80" s="6" t="n"/>
      <c r="O80" s="6" t="n"/>
      <c r="P80" s="7" t="inlineStr">
        <is>
          <t>Not Started</t>
        </is>
      </c>
      <c r="Q80" s="10">
        <f>IF(OR(M80="",P80="Approved",P80="Approved as Noted"),"",M80-TODAY())</f>
        <v/>
      </c>
      <c r="R80" s="4" t="inlineStr">
        <is>
          <t>Spec article</t>
        </is>
      </c>
      <c r="S80" s="11" t="inlineStr"/>
      <c r="T80" s="4" t="inlineStr">
        <is>
          <t>Product Data: For each type of product.</t>
        </is>
      </c>
    </row>
    <row r="81">
      <c r="A81" s="4" t="inlineStr">
        <is>
          <t>035416.02</t>
        </is>
      </c>
      <c r="B81" s="4" t="n">
        <v>0</v>
      </c>
      <c r="C81" s="5" t="inlineStr">
        <is>
          <t>Shop Drawings: Include plans indicating substrates, locations, and average depths of underlayment based on survey of substrate conditions.</t>
        </is>
      </c>
      <c r="D81" s="4" t="inlineStr">
        <is>
          <t>03 54 16</t>
        </is>
      </c>
      <c r="E81" s="5" t="inlineStr">
        <is>
          <t>Hydraulic Cement Underlayment</t>
        </is>
      </c>
      <c r="F81" s="4" t="inlineStr">
        <is>
          <t>SD+REPORT</t>
        </is>
      </c>
      <c r="G81" s="4" t="inlineStr">
        <is>
          <t>1.2.B p.127</t>
        </is>
      </c>
      <c r="H81" s="6" t="n"/>
      <c r="I81" s="7" t="inlineStr"/>
      <c r="J81" s="8">
        <f>'Project Rules'!$B$5</f>
        <v/>
      </c>
      <c r="K81" s="8">
        <f>'Project Rules'!$B$6</f>
        <v/>
      </c>
      <c r="L81" s="9">
        <f>IF(OR(H81="",I81=""),"",H81-7*I81)</f>
        <v/>
      </c>
      <c r="M81" s="9">
        <f>IF(OR(H81="",I81=""),"",H81-7*(I81+J81+K81))</f>
        <v/>
      </c>
      <c r="N81" s="6" t="n"/>
      <c r="O81" s="6" t="n"/>
      <c r="P81" s="7" t="inlineStr">
        <is>
          <t>Not Started</t>
        </is>
      </c>
      <c r="Q81" s="10">
        <f>IF(OR(M81="",P81="Approved",P81="Approved as Noted"),"",M81-TODAY())</f>
        <v/>
      </c>
      <c r="R81" s="4" t="inlineStr">
        <is>
          <t>Spec article</t>
        </is>
      </c>
      <c r="S81" s="11" t="inlineStr"/>
      <c r="T81" s="4" t="inlineStr">
        <is>
          <t>Shop Drawings: Include plans indicating substrates, locations, and average depths of underlayment based on survey of substrate conditions.</t>
        </is>
      </c>
    </row>
    <row r="82">
      <c r="A82" s="4" t="inlineStr">
        <is>
          <t>054523.01</t>
        </is>
      </c>
      <c r="B82" s="4" t="n">
        <v>0</v>
      </c>
      <c r="C82" s="5" t="inlineStr">
        <is>
          <t>Product Data: For each type of product indicated.</t>
        </is>
      </c>
      <c r="D82" s="4" t="inlineStr">
        <is>
          <t>05 45 23</t>
        </is>
      </c>
      <c r="E82" s="5" t="inlineStr">
        <is>
          <t>Healthcare Metal Supports</t>
        </is>
      </c>
      <c r="F82" s="4" t="inlineStr">
        <is>
          <t>PD</t>
        </is>
      </c>
      <c r="G82" s="4" t="inlineStr">
        <is>
          <t>1.4.B p.129</t>
        </is>
      </c>
      <c r="H82" s="6" t="n"/>
      <c r="I82" s="7" t="inlineStr"/>
      <c r="J82" s="8">
        <f>'Project Rules'!$B$5</f>
        <v/>
      </c>
      <c r="K82" s="8">
        <f>'Project Rules'!$B$6</f>
        <v/>
      </c>
      <c r="L82" s="9">
        <f>IF(OR(H82="",I82=""),"",H82-7*I82)</f>
        <v/>
      </c>
      <c r="M82" s="9">
        <f>IF(OR(H82="",I82=""),"",H82-7*(I82+J82+K82))</f>
        <v/>
      </c>
      <c r="N82" s="6" t="n"/>
      <c r="O82" s="6" t="n"/>
      <c r="P82" s="7" t="inlineStr">
        <is>
          <t>Not Started</t>
        </is>
      </c>
      <c r="Q82" s="10">
        <f>IF(OR(M82="",P82="Approved",P82="Approved as Noted"),"",M82-TODAY())</f>
        <v/>
      </c>
      <c r="R82" s="4" t="inlineStr">
        <is>
          <t>Spec article</t>
        </is>
      </c>
      <c r="S82" s="11" t="inlineStr"/>
      <c r="T82" s="4" t="inlineStr">
        <is>
          <t>Product Data: For each type of product indicated.</t>
        </is>
      </c>
    </row>
    <row r="83">
      <c r="A83" s="4" t="inlineStr">
        <is>
          <t>054523.02</t>
        </is>
      </c>
      <c r="B83" s="4" t="n">
        <v>0</v>
      </c>
      <c r="C83" s="5" t="inlineStr">
        <is>
          <t>Shop Drawings: Indicate plan layout, typical elevations, details and anchoring methods.</t>
        </is>
      </c>
      <c r="D83" s="4" t="inlineStr">
        <is>
          <t>05 45 23</t>
        </is>
      </c>
      <c r="E83" s="5" t="inlineStr">
        <is>
          <t>Healthcare Metal Supports</t>
        </is>
      </c>
      <c r="F83" s="4" t="inlineStr">
        <is>
          <t>SD</t>
        </is>
      </c>
      <c r="G83" s="4" t="inlineStr">
        <is>
          <t>1.4.C p.129</t>
        </is>
      </c>
      <c r="H83" s="6" t="n"/>
      <c r="I83" s="7" t="inlineStr"/>
      <c r="J83" s="8">
        <f>'Project Rules'!$B$5</f>
        <v/>
      </c>
      <c r="K83" s="8">
        <f>'Project Rules'!$B$6</f>
        <v/>
      </c>
      <c r="L83" s="9">
        <f>IF(OR(H83="",I83=""),"",H83-7*I83)</f>
        <v/>
      </c>
      <c r="M83" s="9">
        <f>IF(OR(H83="",I83=""),"",H83-7*(I83+J83+K83))</f>
        <v/>
      </c>
      <c r="N83" s="6" t="n"/>
      <c r="O83" s="6" t="n"/>
      <c r="P83" s="7" t="inlineStr">
        <is>
          <t>Not Started</t>
        </is>
      </c>
      <c r="Q83" s="10">
        <f>IF(OR(M83="",P83="Approved",P83="Approved as Noted"),"",M83-TODAY())</f>
        <v/>
      </c>
      <c r="R83" s="4" t="inlineStr">
        <is>
          <t>Spec article</t>
        </is>
      </c>
      <c r="S83" s="11" t="inlineStr"/>
      <c r="T83" s="4" t="inlineStr">
        <is>
          <t>Shop Drawings: Indicate plan layout, typical elevations, details and anchoring methods.</t>
        </is>
      </c>
    </row>
    <row r="84">
      <c r="A84" s="4" t="inlineStr">
        <is>
          <t>054523.03</t>
        </is>
      </c>
      <c r="B84" s="4" t="n">
        <v>0</v>
      </c>
      <c r="C84" s="5" t="inlineStr">
        <is>
          <t>Delegated Design Data: For installed dimension support systems indicated to comply with certain design loads and deflection limits, include structural analysis data...</t>
        </is>
      </c>
      <c r="D84" s="4" t="inlineStr">
        <is>
          <t>05 45 23</t>
        </is>
      </c>
      <c r="E84" s="5" t="inlineStr">
        <is>
          <t>Healthcare Metal Supports</t>
        </is>
      </c>
      <c r="F84" s="4" t="inlineStr">
        <is>
          <t>CALC+SD</t>
        </is>
      </c>
      <c r="G84" s="4" t="inlineStr">
        <is>
          <t>1.5.A p.130</t>
        </is>
      </c>
      <c r="H84" s="6" t="n"/>
      <c r="I84" s="7" t="inlineStr"/>
      <c r="J84" s="8">
        <f>'Project Rules'!$B$5</f>
        <v/>
      </c>
      <c r="K84" s="8">
        <f>'Project Rules'!$B$6</f>
        <v/>
      </c>
      <c r="L84" s="9">
        <f>IF(OR(H84="",I84=""),"",H84-7*I84)</f>
        <v/>
      </c>
      <c r="M84" s="9">
        <f>IF(OR(H84="",I84=""),"",H84-7*(I84+J84+K84))</f>
        <v/>
      </c>
      <c r="N84" s="6" t="n"/>
      <c r="O84" s="6" t="n"/>
      <c r="P84" s="7" t="inlineStr">
        <is>
          <t>Not Started</t>
        </is>
      </c>
      <c r="Q84" s="10">
        <f>IF(OR(M84="",P84="Approved",P84="Approved as Noted"),"",M84-TODAY())</f>
        <v/>
      </c>
      <c r="R84" s="4" t="inlineStr">
        <is>
          <t>Spec article</t>
        </is>
      </c>
      <c r="S84" s="11" t="inlineStr"/>
      <c r="T84" s="4" t="inlineStr">
        <is>
          <t>Delegated Design Data: For installed dimension support systems indicated to comply with certain design loads and deflection limits, include structural analysis data signed and sealed by the qualified professional structural engineer responsible for their preparation.</t>
        </is>
      </c>
    </row>
    <row r="85">
      <c r="A85" s="4" t="inlineStr">
        <is>
          <t>054523.04</t>
        </is>
      </c>
      <c r="B85" s="4" t="n">
        <v>0</v>
      </c>
      <c r="C85" s="5" t="inlineStr">
        <is>
          <t>Certificates verifying AWS qualifications within previous 12 months for each welder employed for Work.</t>
        </is>
      </c>
      <c r="D85" s="4" t="inlineStr">
        <is>
          <t>05 45 23</t>
        </is>
      </c>
      <c r="E85" s="5" t="inlineStr">
        <is>
          <t>Healthcare Metal Supports</t>
        </is>
      </c>
      <c r="F85" s="4" t="inlineStr">
        <is>
          <t>CERT</t>
        </is>
      </c>
      <c r="G85" s="4" t="inlineStr">
        <is>
          <t>1.5.B p.130</t>
        </is>
      </c>
      <c r="H85" s="6" t="n"/>
      <c r="I85" s="7" t="inlineStr"/>
      <c r="J85" s="8">
        <f>'Project Rules'!$B$5</f>
        <v/>
      </c>
      <c r="K85" s="8">
        <f>'Project Rules'!$B$6</f>
        <v/>
      </c>
      <c r="L85" s="9">
        <f>IF(OR(H85="",I85=""),"",H85-7*I85)</f>
        <v/>
      </c>
      <c r="M85" s="9">
        <f>IF(OR(H85="",I85=""),"",H85-7*(I85+J85+K85))</f>
        <v/>
      </c>
      <c r="N85" s="6" t="n"/>
      <c r="O85" s="6" t="n"/>
      <c r="P85" s="7" t="inlineStr">
        <is>
          <t>Not Started</t>
        </is>
      </c>
      <c r="Q85" s="10">
        <f>IF(OR(M85="",P85="Approved",P85="Approved as Noted"),"",M85-TODAY())</f>
        <v/>
      </c>
      <c r="R85" s="4" t="inlineStr">
        <is>
          <t>Spec article</t>
        </is>
      </c>
      <c r="S85" s="11" t="inlineStr"/>
      <c r="T85" s="4" t="inlineStr">
        <is>
          <t>Certificates verifying AWS qualifications within previous 12 months for each welder employed for Work.</t>
        </is>
      </c>
    </row>
    <row r="86">
      <c r="A86" s="4" t="inlineStr">
        <is>
          <t>054523.05</t>
        </is>
      </c>
      <c r="B86" s="4" t="n">
        <v>0</v>
      </c>
      <c r="C86" s="5" t="inlineStr">
        <is>
          <t>Certifications specified in Quality Assurance article.</t>
        </is>
      </c>
      <c r="D86" s="4" t="inlineStr">
        <is>
          <t>05 45 23</t>
        </is>
      </c>
      <c r="E86" s="5" t="inlineStr">
        <is>
          <t>Healthcare Metal Supports</t>
        </is>
      </c>
      <c r="F86" s="4" t="inlineStr">
        <is>
          <t>CERT</t>
        </is>
      </c>
      <c r="G86" s="4" t="inlineStr">
        <is>
          <t>1.5.C p.130</t>
        </is>
      </c>
      <c r="H86" s="6" t="n"/>
      <c r="I86" s="7" t="inlineStr"/>
      <c r="J86" s="8">
        <f>'Project Rules'!$B$5</f>
        <v/>
      </c>
      <c r="K86" s="8">
        <f>'Project Rules'!$B$6</f>
        <v/>
      </c>
      <c r="L86" s="9">
        <f>IF(OR(H86="",I86=""),"",H86-7*I86)</f>
        <v/>
      </c>
      <c r="M86" s="9">
        <f>IF(OR(H86="",I86=""),"",H86-7*(I86+J86+K86))</f>
        <v/>
      </c>
      <c r="N86" s="6" t="n"/>
      <c r="O86" s="6" t="n"/>
      <c r="P86" s="7" t="inlineStr">
        <is>
          <t>Not Started</t>
        </is>
      </c>
      <c r="Q86" s="10">
        <f>IF(OR(M86="",P86="Approved",P86="Approved as Noted"),"",M86-TODAY())</f>
        <v/>
      </c>
      <c r="R86" s="4" t="inlineStr">
        <is>
          <t>Spec article</t>
        </is>
      </c>
      <c r="S86" s="11" t="inlineStr"/>
      <c r="T86" s="4" t="inlineStr">
        <is>
          <t>Certifications specified in Quality Assurance article.</t>
        </is>
      </c>
    </row>
    <row r="87">
      <c r="A87" s="4" t="inlineStr">
        <is>
          <t>054523.06</t>
        </is>
      </c>
      <c r="B87" s="4" t="n">
        <v>0</v>
      </c>
      <c r="C87" s="5" t="inlineStr">
        <is>
          <t>Qualification Data: For professional Engineer.</t>
        </is>
      </c>
      <c r="D87" s="4" t="inlineStr">
        <is>
          <t>05 45 23</t>
        </is>
      </c>
      <c r="E87" s="5" t="inlineStr">
        <is>
          <t>Healthcare Metal Supports</t>
        </is>
      </c>
      <c r="F87" s="4" t="inlineStr">
        <is>
          <t>CERT</t>
        </is>
      </c>
      <c r="G87" s="4" t="inlineStr">
        <is>
          <t>1.5.D p.130</t>
        </is>
      </c>
      <c r="H87" s="6" t="n"/>
      <c r="I87" s="7" t="inlineStr"/>
      <c r="J87" s="8">
        <f>'Project Rules'!$B$5</f>
        <v/>
      </c>
      <c r="K87" s="8">
        <f>'Project Rules'!$B$6</f>
        <v/>
      </c>
      <c r="L87" s="9">
        <f>IF(OR(H87="",I87=""),"",H87-7*I87)</f>
        <v/>
      </c>
      <c r="M87" s="9">
        <f>IF(OR(H87="",I87=""),"",H87-7*(I87+J87+K87))</f>
        <v/>
      </c>
      <c r="N87" s="6" t="n"/>
      <c r="O87" s="6" t="n"/>
      <c r="P87" s="7" t="inlineStr">
        <is>
          <t>Not Started</t>
        </is>
      </c>
      <c r="Q87" s="10">
        <f>IF(OR(M87="",P87="Approved",P87="Approved as Noted"),"",M87-TODAY())</f>
        <v/>
      </c>
      <c r="R87" s="4" t="inlineStr">
        <is>
          <t>Spec article</t>
        </is>
      </c>
      <c r="S87" s="11" t="inlineStr"/>
      <c r="T87" s="4" t="inlineStr">
        <is>
          <t>Qualification Data: For professional Engineer.</t>
        </is>
      </c>
    </row>
    <row r="88">
      <c r="A88" s="4" t="inlineStr">
        <is>
          <t>061053.01</t>
        </is>
      </c>
      <c r="B88" s="4" t="n">
        <v>0</v>
      </c>
      <c r="C88" s="5" t="inlineStr">
        <is>
          <t>Product Data: For each type of process and factory-fabricated product.</t>
        </is>
      </c>
      <c r="D88" s="4" t="inlineStr">
        <is>
          <t>06 10 53</t>
        </is>
      </c>
      <c r="E88" s="5" t="inlineStr">
        <is>
          <t>Miscellaneous Rough Carpentry</t>
        </is>
      </c>
      <c r="F88" s="4" t="inlineStr">
        <is>
          <t>PD</t>
        </is>
      </c>
      <c r="G88" s="4" t="inlineStr">
        <is>
          <t>1.3.A p.132</t>
        </is>
      </c>
      <c r="H88" s="6" t="n"/>
      <c r="I88" s="7" t="inlineStr"/>
      <c r="J88" s="8">
        <f>'Project Rules'!$B$5</f>
        <v/>
      </c>
      <c r="K88" s="8">
        <f>'Project Rules'!$B$6</f>
        <v/>
      </c>
      <c r="L88" s="9">
        <f>IF(OR(H88="",I88=""),"",H88-7*I88)</f>
        <v/>
      </c>
      <c r="M88" s="9">
        <f>IF(OR(H88="",I88=""),"",H88-7*(I88+J88+K88))</f>
        <v/>
      </c>
      <c r="N88" s="6" t="n"/>
      <c r="O88" s="6" t="n"/>
      <c r="P88" s="7" t="inlineStr">
        <is>
          <t>Not Started</t>
        </is>
      </c>
      <c r="Q88" s="10">
        <f>IF(OR(M88="",P88="Approved",P88="Approved as Noted"),"",M88-TODAY())</f>
        <v/>
      </c>
      <c r="R88" s="4" t="inlineStr">
        <is>
          <t>Spec article</t>
        </is>
      </c>
      <c r="S88" s="11" t="inlineStr"/>
      <c r="T88" s="4" t="inlineStr">
        <is>
          <t>Product Data: For each type of process and factory-fabricated product. Indicate component materials and dimensions and include construction and application details. 1. Include data for wood-preservative treatment from chemical treatment manufacturer and certification by treating plant that treated materials comply with requirements. Indicate type of preservative used and net amount of preservative retained. 2. Include data for fire-retardant treatment from chemical treatment manufacturer and certification by treating plant that treated materials comply with requirements. Include physical properties of treated materials based on testing by a qualified independent testing agency. 3. For fire-retardant treatments, include physical properties of treated lumber both before and after exposure to elevated temperatures, based on testing by a qualified independent testing agency according to ASTM D5664. 4. For products receiving a waterborne treatment, include statement that moisture content of treated materials was reduced to levels specified before shipment to Project site.</t>
        </is>
      </c>
    </row>
    <row r="89">
      <c r="A89" s="4" t="inlineStr">
        <is>
          <t>061053.02</t>
        </is>
      </c>
      <c r="B89" s="4" t="n">
        <v>0</v>
      </c>
      <c r="C89" s="5" t="inlineStr">
        <is>
          <t>Preservative-treated wood.</t>
        </is>
      </c>
      <c r="D89" s="4" t="inlineStr">
        <is>
          <t>06 10 53</t>
        </is>
      </c>
      <c r="E89" s="5" t="inlineStr">
        <is>
          <t>Miscellaneous Rough Carpentry</t>
        </is>
      </c>
      <c r="F89" s="4" t="inlineStr">
        <is>
          <t>TEST</t>
        </is>
      </c>
      <c r="G89" s="4" t="inlineStr">
        <is>
          <t>1.4.A.1 p.132</t>
        </is>
      </c>
      <c r="H89" s="6" t="n"/>
      <c r="I89" s="7" t="inlineStr"/>
      <c r="J89" s="8">
        <f>'Project Rules'!$B$5</f>
        <v/>
      </c>
      <c r="K89" s="8">
        <f>'Project Rules'!$B$6</f>
        <v/>
      </c>
      <c r="L89" s="9">
        <f>IF(OR(H89="",I89=""),"",H89-7*I89)</f>
        <v/>
      </c>
      <c r="M89" s="9">
        <f>IF(OR(H89="",I89=""),"",H89-7*(I89+J89+K89))</f>
        <v/>
      </c>
      <c r="N89" s="6" t="n"/>
      <c r="O89" s="6" t="n"/>
      <c r="P89" s="7" t="inlineStr">
        <is>
          <t>Not Started</t>
        </is>
      </c>
      <c r="Q89" s="10">
        <f>IF(OR(M89="",P89="Approved",P89="Approved as Noted"),"",M89-TODAY())</f>
        <v/>
      </c>
      <c r="R89" s="4" t="inlineStr">
        <is>
          <t>Spec article</t>
        </is>
      </c>
      <c r="S89" s="11" t="inlineStr"/>
      <c r="T89" s="4" t="inlineStr">
        <is>
          <t>Preservative-treated wood.</t>
        </is>
      </c>
    </row>
    <row r="90">
      <c r="A90" s="4" t="inlineStr">
        <is>
          <t>061053.03</t>
        </is>
      </c>
      <c r="B90" s="4" t="n">
        <v>0</v>
      </c>
      <c r="C90" s="5" t="inlineStr">
        <is>
          <t>Fire-retardant-treated wood.</t>
        </is>
      </c>
      <c r="D90" s="4" t="inlineStr">
        <is>
          <t>06 10 53</t>
        </is>
      </c>
      <c r="E90" s="5" t="inlineStr">
        <is>
          <t>Miscellaneous Rough Carpentry</t>
        </is>
      </c>
      <c r="F90" s="4" t="inlineStr">
        <is>
          <t>TEST</t>
        </is>
      </c>
      <c r="G90" s="4" t="inlineStr">
        <is>
          <t>1.4.A.2 p.132</t>
        </is>
      </c>
      <c r="H90" s="6" t="n"/>
      <c r="I90" s="7" t="inlineStr"/>
      <c r="J90" s="8">
        <f>'Project Rules'!$B$5</f>
        <v/>
      </c>
      <c r="K90" s="8">
        <f>'Project Rules'!$B$6</f>
        <v/>
      </c>
      <c r="L90" s="9">
        <f>IF(OR(H90="",I90=""),"",H90-7*I90)</f>
        <v/>
      </c>
      <c r="M90" s="9">
        <f>IF(OR(H90="",I90=""),"",H90-7*(I90+J90+K90))</f>
        <v/>
      </c>
      <c r="N90" s="6" t="n"/>
      <c r="O90" s="6" t="n"/>
      <c r="P90" s="7" t="inlineStr">
        <is>
          <t>Not Started</t>
        </is>
      </c>
      <c r="Q90" s="10">
        <f>IF(OR(M90="",P90="Approved",P90="Approved as Noted"),"",M90-TODAY())</f>
        <v/>
      </c>
      <c r="R90" s="4" t="inlineStr">
        <is>
          <t>Spec article</t>
        </is>
      </c>
      <c r="S90" s="11" t="inlineStr"/>
      <c r="T90" s="4" t="inlineStr">
        <is>
          <t>Fire-retardant-treated wood.</t>
        </is>
      </c>
    </row>
    <row r="91">
      <c r="A91" s="4" t="inlineStr">
        <is>
          <t>064116.01</t>
        </is>
      </c>
      <c r="B91" s="4" t="n">
        <v>0</v>
      </c>
      <c r="C91" s="5" t="inlineStr">
        <is>
          <t>Include data for fire-retardant treatment from chemical-treatment manufacturer and certification by treating plant that treated materials comply with requirements.</t>
        </is>
      </c>
      <c r="D91" s="4" t="inlineStr">
        <is>
          <t>06 41 16</t>
        </is>
      </c>
      <c r="E91" s="5" t="inlineStr">
        <is>
          <t>Plastic-Laminate-Clad Architectural Cabinets</t>
        </is>
      </c>
      <c r="F91" s="4" t="inlineStr">
        <is>
          <t>PD</t>
        </is>
      </c>
      <c r="G91" s="4" t="inlineStr">
        <is>
          <t>1.4.A.1 p.136</t>
        </is>
      </c>
      <c r="H91" s="6" t="n"/>
      <c r="I91" s="7" t="inlineStr"/>
      <c r="J91" s="8">
        <f>'Project Rules'!$B$5</f>
        <v/>
      </c>
      <c r="K91" s="8">
        <f>'Project Rules'!$B$6</f>
        <v/>
      </c>
      <c r="L91" s="9">
        <f>IF(OR(H91="",I91=""),"",H91-7*I91)</f>
        <v/>
      </c>
      <c r="M91" s="9">
        <f>IF(OR(H91="",I91=""),"",H91-7*(I91+J91+K91))</f>
        <v/>
      </c>
      <c r="N91" s="6" t="n"/>
      <c r="O91" s="6" t="n"/>
      <c r="P91" s="7" t="inlineStr">
        <is>
          <t>Not Started</t>
        </is>
      </c>
      <c r="Q91" s="10">
        <f>IF(OR(M91="",P91="Approved",P91="Approved as Noted"),"",M91-TODAY())</f>
        <v/>
      </c>
      <c r="R91" s="4" t="inlineStr">
        <is>
          <t>Spec article</t>
        </is>
      </c>
      <c r="S91" s="11" t="inlineStr"/>
      <c r="T91" s="4" t="inlineStr">
        <is>
          <t>Include data for fire-retardant treatment from chemical-treatment manufacturer and certification by treating plant that treated materials comply with requirements.</t>
        </is>
      </c>
    </row>
    <row r="92">
      <c r="A92" s="4" t="inlineStr">
        <is>
          <t>064116.02</t>
        </is>
      </c>
      <c r="B92" s="4" t="n">
        <v>0</v>
      </c>
      <c r="C92" s="5" t="inlineStr">
        <is>
          <t>Shop drawings: cabinet plans, elevations, sections, attachment details, blocking and cutouts</t>
        </is>
      </c>
      <c r="D92" s="4" t="inlineStr">
        <is>
          <t>06 41 16</t>
        </is>
      </c>
      <c r="E92" s="5" t="inlineStr">
        <is>
          <t>Plastic-Laminate-Clad Architectural Cabinets</t>
        </is>
      </c>
      <c r="F92" s="4" t="inlineStr">
        <is>
          <t>SD</t>
        </is>
      </c>
      <c r="G92" s="4" t="inlineStr">
        <is>
          <t>1.4.B p.136</t>
        </is>
      </c>
      <c r="H92" s="6" t="n"/>
      <c r="I92" s="7" t="inlineStr"/>
      <c r="J92" s="8">
        <f>'Project Rules'!$B$5</f>
        <v/>
      </c>
      <c r="K92" s="8">
        <f>'Project Rules'!$B$6</f>
        <v/>
      </c>
      <c r="L92" s="9">
        <f>IF(OR(H92="",I92=""),"",H92-7*I92)</f>
        <v/>
      </c>
      <c r="M92" s="9">
        <f>IF(OR(H92="",I92=""),"",H92-7*(I92+J92+K92))</f>
        <v/>
      </c>
      <c r="N92" s="6" t="n"/>
      <c r="O92" s="6" t="n"/>
      <c r="P92" s="7" t="inlineStr">
        <is>
          <t>Not Started</t>
        </is>
      </c>
      <c r="Q92" s="10">
        <f>IF(OR(M92="",P92="Approved",P92="Approved as Noted"),"",M92-TODAY())</f>
        <v/>
      </c>
      <c r="R92" s="4" t="inlineStr">
        <is>
          <t>Spec article (merged)</t>
        </is>
      </c>
      <c r="S92" s="11" t="inlineStr"/>
      <c r="T92" s="4" t="inlineStr">
        <is>
          <t>Include plans, elevations, sections, and attachment details. Show large-scale details. Show locations and sizes of furring, blocking, and hanging strips, including concealed blocking and reinforcement specified in other Sections. Show locations and sizes of cutouts and holes for items installed in plastic-laminate architectural cabinets.</t>
        </is>
      </c>
    </row>
    <row r="93">
      <c r="A93" s="4" t="inlineStr">
        <is>
          <t>064116.03</t>
        </is>
      </c>
      <c r="B93" s="4" t="n">
        <v>0</v>
      </c>
      <c r="C93" s="5" t="inlineStr">
        <is>
          <t>Samples: For each exposed product and for each color and texture specified, in manufacturer's or manufacturer's standard size.</t>
        </is>
      </c>
      <c r="D93" s="4" t="inlineStr">
        <is>
          <t>06 41 16</t>
        </is>
      </c>
      <c r="E93" s="5" t="inlineStr">
        <is>
          <t>Plastic-Laminate-Clad Architectural Cabinets</t>
        </is>
      </c>
      <c r="F93" s="4" t="inlineStr">
        <is>
          <t>SAM</t>
        </is>
      </c>
      <c r="G93" s="4" t="inlineStr">
        <is>
          <t>1.4.C p.136</t>
        </is>
      </c>
      <c r="H93" s="6" t="n"/>
      <c r="I93" s="7" t="inlineStr"/>
      <c r="J93" s="8">
        <f>'Project Rules'!$B$5</f>
        <v/>
      </c>
      <c r="K93" s="8">
        <f>'Project Rules'!$B$6</f>
        <v/>
      </c>
      <c r="L93" s="9">
        <f>IF(OR(H93="",I93=""),"",H93-7*I93)</f>
        <v/>
      </c>
      <c r="M93" s="9">
        <f>IF(OR(H93="",I93=""),"",H93-7*(I93+J93+K93))</f>
        <v/>
      </c>
      <c r="N93" s="6" t="n"/>
      <c r="O93" s="6" t="n"/>
      <c r="P93" s="7" t="inlineStr">
        <is>
          <t>Not Started</t>
        </is>
      </c>
      <c r="Q93" s="10">
        <f>IF(OR(M93="",P93="Approved",P93="Approved as Noted"),"",M93-TODAY())</f>
        <v/>
      </c>
      <c r="R93" s="4" t="inlineStr">
        <is>
          <t>Spec article</t>
        </is>
      </c>
      <c r="S93" s="11" t="inlineStr"/>
      <c r="T93" s="4" t="inlineStr">
        <is>
          <t>Samples: For each exposed product and for each color and texture specified, in manufacturer's or manufacturer's standard size.</t>
        </is>
      </c>
    </row>
    <row r="94">
      <c r="A94" s="4" t="inlineStr">
        <is>
          <t>064116.04</t>
        </is>
      </c>
      <c r="B94" s="4" t="n">
        <v>0</v>
      </c>
      <c r="C94" s="5" t="inlineStr">
        <is>
          <t>Samples for Initial Selection: For each type of exposed finish.</t>
        </is>
      </c>
      <c r="D94" s="4" t="inlineStr">
        <is>
          <t>06 41 16</t>
        </is>
      </c>
      <c r="E94" s="5" t="inlineStr">
        <is>
          <t>Plastic-Laminate-Clad Architectural Cabinets</t>
        </is>
      </c>
      <c r="F94" s="4" t="inlineStr">
        <is>
          <t>SAM</t>
        </is>
      </c>
      <c r="G94" s="4" t="inlineStr">
        <is>
          <t>1.4.D p.136</t>
        </is>
      </c>
      <c r="H94" s="6" t="n"/>
      <c r="I94" s="7" t="inlineStr"/>
      <c r="J94" s="8">
        <f>'Project Rules'!$B$5</f>
        <v/>
      </c>
      <c r="K94" s="8">
        <f>'Project Rules'!$B$6</f>
        <v/>
      </c>
      <c r="L94" s="9">
        <f>IF(OR(H94="",I94=""),"",H94-7*I94)</f>
        <v/>
      </c>
      <c r="M94" s="9">
        <f>IF(OR(H94="",I94=""),"",H94-7*(I94+J94+K94))</f>
        <v/>
      </c>
      <c r="N94" s="6" t="n"/>
      <c r="O94" s="6" t="n"/>
      <c r="P94" s="7" t="inlineStr">
        <is>
          <t>Not Started</t>
        </is>
      </c>
      <c r="Q94" s="10">
        <f>IF(OR(M94="",P94="Approved",P94="Approved as Noted"),"",M94-TODAY())</f>
        <v/>
      </c>
      <c r="R94" s="4" t="inlineStr">
        <is>
          <t>Spec article</t>
        </is>
      </c>
      <c r="S94" s="11" t="inlineStr"/>
      <c r="T94" s="4" t="inlineStr">
        <is>
          <t>Samples for Initial Selection: For each type of exposed finish.</t>
        </is>
      </c>
    </row>
    <row r="95">
      <c r="A95" s="4" t="inlineStr">
        <is>
          <t>064116.05</t>
        </is>
      </c>
      <c r="B95" s="4" t="n">
        <v>0</v>
      </c>
      <c r="C95" s="5" t="inlineStr">
        <is>
          <t>Samples for verification: plastic laminate, thermoset panels, corner pieces, exposed hardware</t>
        </is>
      </c>
      <c r="D95" s="4" t="inlineStr">
        <is>
          <t>06 41 16</t>
        </is>
      </c>
      <c r="E95" s="5" t="inlineStr">
        <is>
          <t>Plastic-Laminate-Clad Architectural Cabinets</t>
        </is>
      </c>
      <c r="F95" s="4" t="inlineStr">
        <is>
          <t>SAM</t>
        </is>
      </c>
      <c r="G95" s="4" t="inlineStr">
        <is>
          <t>1.4.E p.136</t>
        </is>
      </c>
      <c r="H95" s="6" t="n"/>
      <c r="I95" s="7" t="inlineStr"/>
      <c r="J95" s="8">
        <f>'Project Rules'!$B$5</f>
        <v/>
      </c>
      <c r="K95" s="8">
        <f>'Project Rules'!$B$6</f>
        <v/>
      </c>
      <c r="L95" s="9">
        <f>IF(OR(H95="",I95=""),"",H95-7*I95)</f>
        <v/>
      </c>
      <c r="M95" s="9">
        <f>IF(OR(H95="",I95=""),"",H95-7*(I95+J95+K95))</f>
        <v/>
      </c>
      <c r="N95" s="6" t="n"/>
      <c r="O95" s="6" t="n"/>
      <c r="P95" s="7" t="inlineStr">
        <is>
          <t>Not Started</t>
        </is>
      </c>
      <c r="Q95" s="10">
        <f>IF(OR(M95="",P95="Approved",P95="Approved as Noted"),"",M95-TODAY())</f>
        <v/>
      </c>
      <c r="R95" s="4" t="inlineStr">
        <is>
          <t>Spec article (merged)</t>
        </is>
      </c>
      <c r="S95" s="11" t="inlineStr"/>
      <c r="T95" s="4" t="inlineStr">
        <is>
          <t>Plastic Laminates: 8 by 10 inches (200 by 250 mm), for each type, color, pattern, and surface finish required. a. Provide one sample applied to core material with specified edge material applied to one edge. Thermoset Decorative Panels: 8 by 10 inches (200 by 250 mm), for each color, pattern, and surface finish. a. Provide edge banding on one edge. Corner Pieces: a. Cabinet-front frame joints between stiles and rails and at exposed end pieces, 18 inches (450 mm) high by 18 inches (450 mm) wide by 6 inches (150 mm) deep. b. Miter joints for standing trim. Exposed Cabinet Hardware and Accessories: One full-size unit for each type and finish.</t>
        </is>
      </c>
    </row>
    <row r="96">
      <c r="A96" s="4" t="inlineStr">
        <is>
          <t>064116.06</t>
        </is>
      </c>
      <c r="B96" s="4" t="n">
        <v>0</v>
      </c>
      <c r="C96" s="5" t="inlineStr">
        <is>
          <t>Qualification Data: For manufacturer.</t>
        </is>
      </c>
      <c r="D96" s="4" t="inlineStr">
        <is>
          <t>06 41 16</t>
        </is>
      </c>
      <c r="E96" s="5" t="inlineStr">
        <is>
          <t>Plastic-Laminate-Clad Architectural Cabinets</t>
        </is>
      </c>
      <c r="F96" s="4" t="inlineStr">
        <is>
          <t>CERT</t>
        </is>
      </c>
      <c r="G96" s="4" t="inlineStr">
        <is>
          <t>1.5.A p.136</t>
        </is>
      </c>
      <c r="H96" s="6" t="n"/>
      <c r="I96" s="7" t="inlineStr"/>
      <c r="J96" s="8">
        <f>'Project Rules'!$B$5</f>
        <v/>
      </c>
      <c r="K96" s="8">
        <f>'Project Rules'!$B$6</f>
        <v/>
      </c>
      <c r="L96" s="9">
        <f>IF(OR(H96="",I96=""),"",H96-7*I96)</f>
        <v/>
      </c>
      <c r="M96" s="9">
        <f>IF(OR(H96="",I96=""),"",H96-7*(I96+J96+K96))</f>
        <v/>
      </c>
      <c r="N96" s="6" t="n"/>
      <c r="O96" s="6" t="n"/>
      <c r="P96" s="7" t="inlineStr">
        <is>
          <t>Not Started</t>
        </is>
      </c>
      <c r="Q96" s="10">
        <f>IF(OR(M96="",P96="Approved",P96="Approved as Noted"),"",M96-TODAY())</f>
        <v/>
      </c>
      <c r="R96" s="4" t="inlineStr">
        <is>
          <t>Spec article</t>
        </is>
      </c>
      <c r="S96" s="11" t="inlineStr"/>
      <c r="T96" s="4" t="inlineStr">
        <is>
          <t>Qualification Data: For manufacturer.</t>
        </is>
      </c>
    </row>
    <row r="97">
      <c r="A97" s="4" t="inlineStr">
        <is>
          <t>064116.07</t>
        </is>
      </c>
      <c r="B97" s="4" t="n">
        <v>0</v>
      </c>
      <c r="C97" s="5" t="inlineStr">
        <is>
          <t>Material certificates: composite wood and agrifiber products, thermoset panels, high-pressure laminate, adhesives</t>
        </is>
      </c>
      <c r="D97" s="4" t="inlineStr">
        <is>
          <t>06 41 16</t>
        </is>
      </c>
      <c r="E97" s="5" t="inlineStr">
        <is>
          <t>Plastic-Laminate-Clad Architectural Cabinets</t>
        </is>
      </c>
      <c r="F97" s="4" t="inlineStr">
        <is>
          <t>CERT</t>
        </is>
      </c>
      <c r="G97" s="4" t="inlineStr">
        <is>
          <t>1.5.B p.136</t>
        </is>
      </c>
      <c r="H97" s="6" t="n"/>
      <c r="I97" s="7" t="inlineStr"/>
      <c r="J97" s="8">
        <f>'Project Rules'!$B$5</f>
        <v/>
      </c>
      <c r="K97" s="8">
        <f>'Project Rules'!$B$6</f>
        <v/>
      </c>
      <c r="L97" s="9">
        <f>IF(OR(H97="",I97=""),"",H97-7*I97)</f>
        <v/>
      </c>
      <c r="M97" s="9">
        <f>IF(OR(H97="",I97=""),"",H97-7*(I97+J97+K97))</f>
        <v/>
      </c>
      <c r="N97" s="6" t="n"/>
      <c r="O97" s="6" t="n"/>
      <c r="P97" s="7" t="inlineStr">
        <is>
          <t>Not Started</t>
        </is>
      </c>
      <c r="Q97" s="10">
        <f>IF(OR(M97="",P97="Approved",P97="Approved as Noted"),"",M97-TODAY())</f>
        <v/>
      </c>
      <c r="R97" s="4" t="inlineStr">
        <is>
          <t>Spec article (merged)</t>
        </is>
      </c>
      <c r="S97" s="11" t="inlineStr"/>
      <c r="T97" s="4" t="inlineStr">
        <is>
          <t>Composite wood and agrifiber products. Thermoset decorative panels. High-pressure decorative laminate. Adhesives.</t>
        </is>
      </c>
    </row>
    <row r="98">
      <c r="A98" s="4" t="inlineStr">
        <is>
          <t>064116.08</t>
        </is>
      </c>
      <c r="B98" s="4" t="n">
        <v>0</v>
      </c>
      <c r="C98" s="5" t="inlineStr">
        <is>
          <t>Evaluation Reports: For fire-retardant-treated materials, from ICC-ES.</t>
        </is>
      </c>
      <c r="D98" s="4" t="inlineStr">
        <is>
          <t>06 41 16</t>
        </is>
      </c>
      <c r="E98" s="5" t="inlineStr">
        <is>
          <t>Plastic-Laminate-Clad Architectural Cabinets</t>
        </is>
      </c>
      <c r="F98" s="4" t="inlineStr">
        <is>
          <t>REPORT</t>
        </is>
      </c>
      <c r="G98" s="4" t="inlineStr">
        <is>
          <t>1.5.C p.136</t>
        </is>
      </c>
      <c r="H98" s="6" t="n"/>
      <c r="I98" s="7" t="inlineStr"/>
      <c r="J98" s="8">
        <f>'Project Rules'!$B$5</f>
        <v/>
      </c>
      <c r="K98" s="8">
        <f>'Project Rules'!$B$6</f>
        <v/>
      </c>
      <c r="L98" s="9">
        <f>IF(OR(H98="",I98=""),"",H98-7*I98)</f>
        <v/>
      </c>
      <c r="M98" s="9">
        <f>IF(OR(H98="",I98=""),"",H98-7*(I98+J98+K98))</f>
        <v/>
      </c>
      <c r="N98" s="6" t="n"/>
      <c r="O98" s="6" t="n"/>
      <c r="P98" s="7" t="inlineStr">
        <is>
          <t>Not Started</t>
        </is>
      </c>
      <c r="Q98" s="10">
        <f>IF(OR(M98="",P98="Approved",P98="Approved as Noted"),"",M98-TODAY())</f>
        <v/>
      </c>
      <c r="R98" s="4" t="inlineStr">
        <is>
          <t>Spec article</t>
        </is>
      </c>
      <c r="S98" s="11" t="inlineStr"/>
      <c r="T98" s="4" t="inlineStr">
        <is>
          <t>Evaluation Reports: For fire-retardant-treated materials, from ICC-ES. PLASTIC-LAMINATE-CLAD ARCHITECTURAL CABINETS</t>
        </is>
      </c>
    </row>
    <row r="99">
      <c r="A99" s="4" t="inlineStr">
        <is>
          <t>064116.09</t>
        </is>
      </c>
      <c r="B99" s="4" t="n">
        <v>0</v>
      </c>
      <c r="C99" s="5" t="inlineStr">
        <is>
          <t>Field quality-control reports.</t>
        </is>
      </c>
      <c r="D99" s="4" t="inlineStr">
        <is>
          <t>06 41 16</t>
        </is>
      </c>
      <c r="E99" s="5" t="inlineStr">
        <is>
          <t>Plastic-Laminate-Clad Architectural Cabinets</t>
        </is>
      </c>
      <c r="F99" s="4" t="inlineStr">
        <is>
          <t>TEST+REPORT</t>
        </is>
      </c>
      <c r="G99" s="4" t="inlineStr">
        <is>
          <t>1.5.D p.137</t>
        </is>
      </c>
      <c r="H99" s="6" t="n"/>
      <c r="I99" s="7" t="inlineStr"/>
      <c r="J99" s="8">
        <f>'Project Rules'!$B$5</f>
        <v/>
      </c>
      <c r="K99" s="8">
        <f>'Project Rules'!$B$6</f>
        <v/>
      </c>
      <c r="L99" s="9">
        <f>IF(OR(H99="",I99=""),"",H99-7*I99)</f>
        <v/>
      </c>
      <c r="M99" s="9">
        <f>IF(OR(H99="",I99=""),"",H99-7*(I99+J99+K99))</f>
        <v/>
      </c>
      <c r="N99" s="6" t="n"/>
      <c r="O99" s="6" t="n"/>
      <c r="P99" s="7" t="inlineStr">
        <is>
          <t>Not Started</t>
        </is>
      </c>
      <c r="Q99" s="10">
        <f>IF(OR(M99="",P99="Approved",P99="Approved as Noted"),"",M99-TODAY())</f>
        <v/>
      </c>
      <c r="R99" s="4" t="inlineStr">
        <is>
          <t>Spec article</t>
        </is>
      </c>
      <c r="S99" s="11" t="inlineStr"/>
      <c r="T99" s="4" t="inlineStr">
        <is>
          <t>Field quality-control reports.</t>
        </is>
      </c>
    </row>
    <row r="100">
      <c r="A100" s="4" t="inlineStr">
        <is>
          <t>078413.01</t>
        </is>
      </c>
      <c r="B100" s="4" t="n">
        <v>0</v>
      </c>
      <c r="C100" s="5" t="inlineStr">
        <is>
          <t>Product Data: For each type of product.</t>
        </is>
      </c>
      <c r="D100" s="4" t="inlineStr">
        <is>
          <t>07 84 13</t>
        </is>
      </c>
      <c r="E100" s="5" t="inlineStr">
        <is>
          <t>Penetration Firestopping</t>
        </is>
      </c>
      <c r="F100" s="4" t="inlineStr">
        <is>
          <t>PD</t>
        </is>
      </c>
      <c r="G100" s="4" t="inlineStr">
        <is>
          <t>1.3.A p.141</t>
        </is>
      </c>
      <c r="H100" s="6" t="n"/>
      <c r="I100" s="7" t="inlineStr"/>
      <c r="J100" s="8">
        <f>'Project Rules'!$B$5</f>
        <v/>
      </c>
      <c r="K100" s="8">
        <f>'Project Rules'!$B$6</f>
        <v/>
      </c>
      <c r="L100" s="9">
        <f>IF(OR(H100="",I100=""),"",H100-7*I100)</f>
        <v/>
      </c>
      <c r="M100" s="9">
        <f>IF(OR(H100="",I100=""),"",H100-7*(I100+J100+K100))</f>
        <v/>
      </c>
      <c r="N100" s="6" t="n"/>
      <c r="O100" s="6" t="n"/>
      <c r="P100" s="7" t="inlineStr">
        <is>
          <t>Not Started</t>
        </is>
      </c>
      <c r="Q100" s="10">
        <f>IF(OR(M100="",P100="Approved",P100="Approved as Noted"),"",M100-TODAY())</f>
        <v/>
      </c>
      <c r="R100" s="4" t="inlineStr">
        <is>
          <t>Spec article</t>
        </is>
      </c>
      <c r="S100" s="11" t="inlineStr"/>
      <c r="T100" s="4" t="inlineStr">
        <is>
          <t>Product Data: For each type of product.</t>
        </is>
      </c>
    </row>
    <row r="101">
      <c r="A101" s="4" t="inlineStr">
        <is>
          <t>078413.02</t>
        </is>
      </c>
      <c r="B101" s="4" t="n">
        <v>0</v>
      </c>
      <c r="C101" s="5" t="inlineStr">
        <is>
          <t>Product Schedule: For each penetration firestopping system.</t>
        </is>
      </c>
      <c r="D101" s="4" t="inlineStr">
        <is>
          <t>07 84 13</t>
        </is>
      </c>
      <c r="E101" s="5" t="inlineStr">
        <is>
          <t>Penetration Firestopping</t>
        </is>
      </c>
      <c r="F101" s="4" t="inlineStr">
        <is>
          <t>SCHED</t>
        </is>
      </c>
      <c r="G101" s="4" t="inlineStr">
        <is>
          <t>1.3.B p.141</t>
        </is>
      </c>
      <c r="H101" s="6" t="n"/>
      <c r="I101" s="7" t="inlineStr"/>
      <c r="J101" s="8">
        <f>'Project Rules'!$B$5</f>
        <v/>
      </c>
      <c r="K101" s="8">
        <f>'Project Rules'!$B$6</f>
        <v/>
      </c>
      <c r="L101" s="9">
        <f>IF(OR(H101="",I101=""),"",H101-7*I101)</f>
        <v/>
      </c>
      <c r="M101" s="9">
        <f>IF(OR(H101="",I101=""),"",H101-7*(I101+J101+K101))</f>
        <v/>
      </c>
      <c r="N101" s="6" t="n"/>
      <c r="O101" s="6" t="n"/>
      <c r="P101" s="7" t="inlineStr">
        <is>
          <t>Not Started</t>
        </is>
      </c>
      <c r="Q101" s="10">
        <f>IF(OR(M101="",P101="Approved",P101="Approved as Noted"),"",M101-TODAY())</f>
        <v/>
      </c>
      <c r="R101" s="4" t="inlineStr">
        <is>
          <t>Spec article</t>
        </is>
      </c>
      <c r="S101" s="11" t="inlineStr"/>
      <c r="T101" s="4" t="inlineStr">
        <is>
          <t>Product Schedule: For each penetration firestopping system. Include location, illustration of firestopping system, and design designation of qualified testing and inspecting agency. 1. Engineering Judgments: Where Project conditions require modification to a qualified testing and inspecting agency's illustration for a particular penetration firestopping system, submit illustration, with modifications marked, approved by penetration firestopping system manufacturer's fire-protection engineer as an engineering judgment or equivalent fire-resistance-rated assembly. Obtain approval of authorities having jurisdiction prior to submittal.</t>
        </is>
      </c>
    </row>
    <row r="102">
      <c r="A102" s="4" t="inlineStr">
        <is>
          <t>078413.03</t>
        </is>
      </c>
      <c r="B102" s="4" t="n">
        <v>0</v>
      </c>
      <c r="C102" s="5" t="inlineStr">
        <is>
          <t>Product Test Reports: For each penetration firestopping system, for tests performed by a qualified testing agency.</t>
        </is>
      </c>
      <c r="D102" s="4" t="inlineStr">
        <is>
          <t>07 84 13</t>
        </is>
      </c>
      <c r="E102" s="5" t="inlineStr">
        <is>
          <t>Penetration Firestopping</t>
        </is>
      </c>
      <c r="F102" s="4" t="inlineStr">
        <is>
          <t>TEST+REPORT</t>
        </is>
      </c>
      <c r="G102" s="4" t="inlineStr">
        <is>
          <t>1.4.A p.141</t>
        </is>
      </c>
      <c r="H102" s="6" t="n"/>
      <c r="I102" s="7" t="inlineStr"/>
      <c r="J102" s="8">
        <f>'Project Rules'!$B$5</f>
        <v/>
      </c>
      <c r="K102" s="8">
        <f>'Project Rules'!$B$6</f>
        <v/>
      </c>
      <c r="L102" s="9">
        <f>IF(OR(H102="",I102=""),"",H102-7*I102)</f>
        <v/>
      </c>
      <c r="M102" s="9">
        <f>IF(OR(H102="",I102=""),"",H102-7*(I102+J102+K102))</f>
        <v/>
      </c>
      <c r="N102" s="6" t="n"/>
      <c r="O102" s="6" t="n"/>
      <c r="P102" s="7" t="inlineStr">
        <is>
          <t>Not Started</t>
        </is>
      </c>
      <c r="Q102" s="10">
        <f>IF(OR(M102="",P102="Approved",P102="Approved as Noted"),"",M102-TODAY())</f>
        <v/>
      </c>
      <c r="R102" s="4" t="inlineStr">
        <is>
          <t>Spec article</t>
        </is>
      </c>
      <c r="S102" s="11" t="inlineStr"/>
      <c r="T102" s="4" t="inlineStr">
        <is>
          <t>Product Test Reports: For each penetration firestopping system, for tests performed by a qualified testing agency.</t>
        </is>
      </c>
    </row>
    <row r="103">
      <c r="A103" s="4" t="inlineStr">
        <is>
          <t>078413.04</t>
        </is>
      </c>
      <c r="B103" s="4" t="n">
        <v>0</v>
      </c>
      <c r="C103" s="5" t="inlineStr">
        <is>
          <t>Installer Certificates: From Installer indicating that penetration firestopping systems have been installed in compliance with requirements and manufacturer's written...</t>
        </is>
      </c>
      <c r="D103" s="4" t="inlineStr">
        <is>
          <t>07 84 13</t>
        </is>
      </c>
      <c r="E103" s="5" t="inlineStr">
        <is>
          <t>Penetration Firestopping</t>
        </is>
      </c>
      <c r="F103" s="4" t="inlineStr">
        <is>
          <t>CERT</t>
        </is>
      </c>
      <c r="G103" s="4" t="inlineStr">
        <is>
          <t>1.5.A p.141</t>
        </is>
      </c>
      <c r="H103" s="6" t="n"/>
      <c r="I103" s="7" t="inlineStr"/>
      <c r="J103" s="8">
        <f>'Project Rules'!$B$5</f>
        <v/>
      </c>
      <c r="K103" s="8">
        <f>'Project Rules'!$B$6</f>
        <v/>
      </c>
      <c r="L103" s="9">
        <f>IF(OR(H103="",I103=""),"",H103-7*I103)</f>
        <v/>
      </c>
      <c r="M103" s="9">
        <f>IF(OR(H103="",I103=""),"",H103-7*(I103+J103+K103))</f>
        <v/>
      </c>
      <c r="N103" s="6" t="n"/>
      <c r="O103" s="6" t="n"/>
      <c r="P103" s="7" t="inlineStr">
        <is>
          <t>Not Started</t>
        </is>
      </c>
      <c r="Q103" s="10">
        <f>IF(OR(M103="",P103="Approved",P103="Approved as Noted"),"",M103-TODAY())</f>
        <v/>
      </c>
      <c r="R103" s="4" t="inlineStr">
        <is>
          <t>Spec article</t>
        </is>
      </c>
      <c r="S103" s="11" t="inlineStr"/>
      <c r="T103" s="4" t="inlineStr">
        <is>
          <t>Installer Certificates: From Installer indicating that penetration firestopping systems have been installed in compliance with requirements and manufacturer's written instructions.</t>
        </is>
      </c>
    </row>
    <row r="104">
      <c r="A104" s="4" t="inlineStr">
        <is>
          <t>078443.01</t>
        </is>
      </c>
      <c r="B104" s="4" t="n">
        <v>0</v>
      </c>
      <c r="C104" s="5" t="inlineStr">
        <is>
          <t>Product Data: For each type of product.</t>
        </is>
      </c>
      <c r="D104" s="4" t="inlineStr">
        <is>
          <t>07 84 43</t>
        </is>
      </c>
      <c r="E104" s="5" t="inlineStr">
        <is>
          <t>Joint Firestopping</t>
        </is>
      </c>
      <c r="F104" s="4" t="inlineStr">
        <is>
          <t>PD</t>
        </is>
      </c>
      <c r="G104" s="4" t="inlineStr">
        <is>
          <t>1.3.A p.146</t>
        </is>
      </c>
      <c r="H104" s="6" t="n"/>
      <c r="I104" s="7" t="inlineStr"/>
      <c r="J104" s="8">
        <f>'Project Rules'!$B$5</f>
        <v/>
      </c>
      <c r="K104" s="8">
        <f>'Project Rules'!$B$6</f>
        <v/>
      </c>
      <c r="L104" s="9">
        <f>IF(OR(H104="",I104=""),"",H104-7*I104)</f>
        <v/>
      </c>
      <c r="M104" s="9">
        <f>IF(OR(H104="",I104=""),"",H104-7*(I104+J104+K104))</f>
        <v/>
      </c>
      <c r="N104" s="6" t="n"/>
      <c r="O104" s="6" t="n"/>
      <c r="P104" s="7" t="inlineStr">
        <is>
          <t>Not Started</t>
        </is>
      </c>
      <c r="Q104" s="10">
        <f>IF(OR(M104="",P104="Approved",P104="Approved as Noted"),"",M104-TODAY())</f>
        <v/>
      </c>
      <c r="R104" s="4" t="inlineStr">
        <is>
          <t>Spec article</t>
        </is>
      </c>
      <c r="S104" s="11" t="inlineStr"/>
      <c r="T104" s="4" t="inlineStr">
        <is>
          <t>Product Data: For each type of product.</t>
        </is>
      </c>
    </row>
    <row r="105">
      <c r="A105" s="4" t="inlineStr">
        <is>
          <t>078443.02</t>
        </is>
      </c>
      <c r="B105" s="4" t="n">
        <v>0</v>
      </c>
      <c r="C105" s="5" t="inlineStr">
        <is>
          <t>Product Schedule: For each joint firestopping system.</t>
        </is>
      </c>
      <c r="D105" s="4" t="inlineStr">
        <is>
          <t>07 84 43</t>
        </is>
      </c>
      <c r="E105" s="5" t="inlineStr">
        <is>
          <t>Joint Firestopping</t>
        </is>
      </c>
      <c r="F105" s="4" t="inlineStr">
        <is>
          <t>SCHED</t>
        </is>
      </c>
      <c r="G105" s="4" t="inlineStr">
        <is>
          <t>1.3.B p.146</t>
        </is>
      </c>
      <c r="H105" s="6" t="n"/>
      <c r="I105" s="7" t="inlineStr"/>
      <c r="J105" s="8">
        <f>'Project Rules'!$B$5</f>
        <v/>
      </c>
      <c r="K105" s="8">
        <f>'Project Rules'!$B$6</f>
        <v/>
      </c>
      <c r="L105" s="9">
        <f>IF(OR(H105="",I105=""),"",H105-7*I105)</f>
        <v/>
      </c>
      <c r="M105" s="9">
        <f>IF(OR(H105="",I105=""),"",H105-7*(I105+J105+K105))</f>
        <v/>
      </c>
      <c r="N105" s="6" t="n"/>
      <c r="O105" s="6" t="n"/>
      <c r="P105" s="7" t="inlineStr">
        <is>
          <t>Not Started</t>
        </is>
      </c>
      <c r="Q105" s="10">
        <f>IF(OR(M105="",P105="Approved",P105="Approved as Noted"),"",M105-TODAY())</f>
        <v/>
      </c>
      <c r="R105" s="4" t="inlineStr">
        <is>
          <t>Spec article</t>
        </is>
      </c>
      <c r="S105" s="11" t="inlineStr"/>
      <c r="T105" s="4" t="inlineStr">
        <is>
          <t>Product Schedule: For each joint firestopping system. Include location, illustration of firestopping system, and design designation of qualified testing agency. 1. Engineering Judgments: Where Project conditions require modification to a qualified testing agency's illustration for a particular joint firestopping system condition, submit illustration, with modifications marked, approved by joint firestopping system manufacturer's fire-protection engineer as an engineering judgment or equivalent fire-resistance-rated assembly.</t>
        </is>
      </c>
    </row>
    <row r="106">
      <c r="A106" s="4" t="inlineStr">
        <is>
          <t>078443.03</t>
        </is>
      </c>
      <c r="B106" s="4" t="n">
        <v>0</v>
      </c>
      <c r="C106" s="5" t="inlineStr">
        <is>
          <t>Product Test Reports: For each joint firestopping system, for tests performed by a qualified testing agency.</t>
        </is>
      </c>
      <c r="D106" s="4" t="inlineStr">
        <is>
          <t>07 84 43</t>
        </is>
      </c>
      <c r="E106" s="5" t="inlineStr">
        <is>
          <t>Joint Firestopping</t>
        </is>
      </c>
      <c r="F106" s="4" t="inlineStr">
        <is>
          <t>TEST+REPORT</t>
        </is>
      </c>
      <c r="G106" s="4" t="inlineStr">
        <is>
          <t>1.4.A p.146</t>
        </is>
      </c>
      <c r="H106" s="6" t="n"/>
      <c r="I106" s="7" t="inlineStr"/>
      <c r="J106" s="8">
        <f>'Project Rules'!$B$5</f>
        <v/>
      </c>
      <c r="K106" s="8">
        <f>'Project Rules'!$B$6</f>
        <v/>
      </c>
      <c r="L106" s="9">
        <f>IF(OR(H106="",I106=""),"",H106-7*I106)</f>
        <v/>
      </c>
      <c r="M106" s="9">
        <f>IF(OR(H106="",I106=""),"",H106-7*(I106+J106+K106))</f>
        <v/>
      </c>
      <c r="N106" s="6" t="n"/>
      <c r="O106" s="6" t="n"/>
      <c r="P106" s="7" t="inlineStr">
        <is>
          <t>Not Started</t>
        </is>
      </c>
      <c r="Q106" s="10">
        <f>IF(OR(M106="",P106="Approved",P106="Approved as Noted"),"",M106-TODAY())</f>
        <v/>
      </c>
      <c r="R106" s="4" t="inlineStr">
        <is>
          <t>Spec article</t>
        </is>
      </c>
      <c r="S106" s="11" t="inlineStr"/>
      <c r="T106" s="4" t="inlineStr">
        <is>
          <t>Product Test Reports: For each joint firestopping system, for tests performed by a qualified testing agency.</t>
        </is>
      </c>
    </row>
    <row r="107">
      <c r="A107" s="4" t="inlineStr">
        <is>
          <t>078443.04</t>
        </is>
      </c>
      <c r="B107" s="4" t="n">
        <v>0</v>
      </c>
      <c r="C107" s="5" t="inlineStr">
        <is>
          <t>Installer Certificates: From Installer indicating that joint firestopping systems have been installed in compliance with requirements and manufacturer's written...</t>
        </is>
      </c>
      <c r="D107" s="4" t="inlineStr">
        <is>
          <t>07 84 43</t>
        </is>
      </c>
      <c r="E107" s="5" t="inlineStr">
        <is>
          <t>Joint Firestopping</t>
        </is>
      </c>
      <c r="F107" s="4" t="inlineStr">
        <is>
          <t>CERT</t>
        </is>
      </c>
      <c r="G107" s="4" t="inlineStr">
        <is>
          <t>1.5.A p.146</t>
        </is>
      </c>
      <c r="H107" s="6" t="n"/>
      <c r="I107" s="7" t="inlineStr"/>
      <c r="J107" s="8">
        <f>'Project Rules'!$B$5</f>
        <v/>
      </c>
      <c r="K107" s="8">
        <f>'Project Rules'!$B$6</f>
        <v/>
      </c>
      <c r="L107" s="9">
        <f>IF(OR(H107="",I107=""),"",H107-7*I107)</f>
        <v/>
      </c>
      <c r="M107" s="9">
        <f>IF(OR(H107="",I107=""),"",H107-7*(I107+J107+K107))</f>
        <v/>
      </c>
      <c r="N107" s="6" t="n"/>
      <c r="O107" s="6" t="n"/>
      <c r="P107" s="7" t="inlineStr">
        <is>
          <t>Not Started</t>
        </is>
      </c>
      <c r="Q107" s="10">
        <f>IF(OR(M107="",P107="Approved",P107="Approved as Noted"),"",M107-TODAY())</f>
        <v/>
      </c>
      <c r="R107" s="4" t="inlineStr">
        <is>
          <t>Spec article</t>
        </is>
      </c>
      <c r="S107" s="11" t="inlineStr"/>
      <c r="T107" s="4" t="inlineStr">
        <is>
          <t>Installer Certificates: From Installer indicating that joint firestopping systems have been installed in compliance with requirements and manufacturer's written instructions.</t>
        </is>
      </c>
    </row>
    <row r="108">
      <c r="A108" s="4" t="inlineStr">
        <is>
          <t>079200.01</t>
        </is>
      </c>
      <c r="B108" s="4" t="n">
        <v>0</v>
      </c>
      <c r="C108" s="5" t="inlineStr">
        <is>
          <t>Product Data: For each joint-sealant product.</t>
        </is>
      </c>
      <c r="D108" s="4" t="inlineStr">
        <is>
          <t>07 92 00</t>
        </is>
      </c>
      <c r="E108" s="5" t="inlineStr">
        <is>
          <t>Joint Sealants</t>
        </is>
      </c>
      <c r="F108" s="4" t="inlineStr">
        <is>
          <t>PD</t>
        </is>
      </c>
      <c r="G108" s="4" t="inlineStr">
        <is>
          <t>1.3.A p.149</t>
        </is>
      </c>
      <c r="H108" s="6" t="n"/>
      <c r="I108" s="7" t="inlineStr"/>
      <c r="J108" s="8">
        <f>'Project Rules'!$B$5</f>
        <v/>
      </c>
      <c r="K108" s="8">
        <f>'Project Rules'!$B$6</f>
        <v/>
      </c>
      <c r="L108" s="9">
        <f>IF(OR(H108="",I108=""),"",H108-7*I108)</f>
        <v/>
      </c>
      <c r="M108" s="9">
        <f>IF(OR(H108="",I108=""),"",H108-7*(I108+J108+K108))</f>
        <v/>
      </c>
      <c r="N108" s="6" t="n"/>
      <c r="O108" s="6" t="n"/>
      <c r="P108" s="7" t="inlineStr">
        <is>
          <t>Not Started</t>
        </is>
      </c>
      <c r="Q108" s="10">
        <f>IF(OR(M108="",P108="Approved",P108="Approved as Noted"),"",M108-TODAY())</f>
        <v/>
      </c>
      <c r="R108" s="4" t="inlineStr">
        <is>
          <t>Spec article</t>
        </is>
      </c>
      <c r="S108" s="11" t="inlineStr"/>
      <c r="T108" s="4" t="inlineStr">
        <is>
          <t>Product Data: For each joint-sealant product.</t>
        </is>
      </c>
    </row>
    <row r="109">
      <c r="A109" s="4" t="inlineStr">
        <is>
          <t>079200.02</t>
        </is>
      </c>
      <c r="B109" s="4" t="n">
        <v>0</v>
      </c>
      <c r="C109" s="5" t="inlineStr">
        <is>
          <t>Samples for Initial Selection: Manufacturer's color charts consisting of strips of cured sealants showing the full range of colors available for each product exposed to...</t>
        </is>
      </c>
      <c r="D109" s="4" t="inlineStr">
        <is>
          <t>07 92 00</t>
        </is>
      </c>
      <c r="E109" s="5" t="inlineStr">
        <is>
          <t>Joint Sealants</t>
        </is>
      </c>
      <c r="F109" s="4" t="inlineStr">
        <is>
          <t>SAM</t>
        </is>
      </c>
      <c r="G109" s="4" t="inlineStr">
        <is>
          <t>1.3.B p.149</t>
        </is>
      </c>
      <c r="H109" s="6" t="n"/>
      <c r="I109" s="7" t="inlineStr"/>
      <c r="J109" s="8">
        <f>'Project Rules'!$B$5</f>
        <v/>
      </c>
      <c r="K109" s="8">
        <f>'Project Rules'!$B$6</f>
        <v/>
      </c>
      <c r="L109" s="9">
        <f>IF(OR(H109="",I109=""),"",H109-7*I109)</f>
        <v/>
      </c>
      <c r="M109" s="9">
        <f>IF(OR(H109="",I109=""),"",H109-7*(I109+J109+K109))</f>
        <v/>
      </c>
      <c r="N109" s="6" t="n"/>
      <c r="O109" s="6" t="n"/>
      <c r="P109" s="7" t="inlineStr">
        <is>
          <t>Not Started</t>
        </is>
      </c>
      <c r="Q109" s="10">
        <f>IF(OR(M109="",P109="Approved",P109="Approved as Noted"),"",M109-TODAY())</f>
        <v/>
      </c>
      <c r="R109" s="4" t="inlineStr">
        <is>
          <t>Spec article</t>
        </is>
      </c>
      <c r="S109" s="11" t="inlineStr"/>
      <c r="T109" s="4" t="inlineStr">
        <is>
          <t>Samples for Initial Selection: Manufacturer's color charts consisting of strips of cured sealants showing the full range of colors available for each product exposed to view.</t>
        </is>
      </c>
    </row>
    <row r="110">
      <c r="A110" s="4" t="inlineStr">
        <is>
          <t>079200.03</t>
        </is>
      </c>
      <c r="B110" s="4" t="n">
        <v>0</v>
      </c>
      <c r="C110" s="5" t="inlineStr">
        <is>
          <t>Joint-sealant product schedule: application, joint location, manufacturer, formulation and color</t>
        </is>
      </c>
      <c r="D110" s="4" t="inlineStr">
        <is>
          <t>07 92 00</t>
        </is>
      </c>
      <c r="E110" s="5" t="inlineStr">
        <is>
          <t>Joint Sealants</t>
        </is>
      </c>
      <c r="F110" s="4" t="inlineStr">
        <is>
          <t>SCHED</t>
        </is>
      </c>
      <c r="G110" s="4" t="inlineStr">
        <is>
          <t>1.3.C p.149</t>
        </is>
      </c>
      <c r="H110" s="6" t="n"/>
      <c r="I110" s="7" t="inlineStr"/>
      <c r="J110" s="8">
        <f>'Project Rules'!$B$5</f>
        <v/>
      </c>
      <c r="K110" s="8">
        <f>'Project Rules'!$B$6</f>
        <v/>
      </c>
      <c r="L110" s="9">
        <f>IF(OR(H110="",I110=""),"",H110-7*I110)</f>
        <v/>
      </c>
      <c r="M110" s="9">
        <f>IF(OR(H110="",I110=""),"",H110-7*(I110+J110+K110))</f>
        <v/>
      </c>
      <c r="N110" s="6" t="n"/>
      <c r="O110" s="6" t="n"/>
      <c r="P110" s="7" t="inlineStr">
        <is>
          <t>Not Started</t>
        </is>
      </c>
      <c r="Q110" s="10">
        <f>IF(OR(M110="",P110="Approved",P110="Approved as Noted"),"",M110-TODAY())</f>
        <v/>
      </c>
      <c r="R110" s="4" t="inlineStr">
        <is>
          <t>Spec article (merged)</t>
        </is>
      </c>
      <c r="S110" s="11" t="inlineStr"/>
      <c r="T110" s="4" t="inlineStr">
        <is>
          <t>Joint-sealant application, joint location, and designation. Joint-sealant manufacturer and product name. Joint-sealant formulation. Joint-sealant color.</t>
        </is>
      </c>
    </row>
    <row r="111">
      <c r="A111" s="4" t="inlineStr">
        <is>
          <t>079200.04</t>
        </is>
      </c>
      <c r="B111" s="4" t="n">
        <v>0</v>
      </c>
      <c r="C111" s="5" t="inlineStr">
        <is>
          <t>Product Test Reports: For each kind of joint sealant, for tests performed by manufacturer and witnessed by a qualified testing agency.</t>
        </is>
      </c>
      <c r="D111" s="4" t="inlineStr">
        <is>
          <t>07 92 00</t>
        </is>
      </c>
      <c r="E111" s="5" t="inlineStr">
        <is>
          <t>Joint Sealants</t>
        </is>
      </c>
      <c r="F111" s="4" t="inlineStr">
        <is>
          <t>TEST+REPORT</t>
        </is>
      </c>
      <c r="G111" s="4" t="inlineStr">
        <is>
          <t>1.4.A p.149</t>
        </is>
      </c>
      <c r="H111" s="6" t="n"/>
      <c r="I111" s="7" t="inlineStr"/>
      <c r="J111" s="8">
        <f>'Project Rules'!$B$5</f>
        <v/>
      </c>
      <c r="K111" s="8">
        <f>'Project Rules'!$B$6</f>
        <v/>
      </c>
      <c r="L111" s="9">
        <f>IF(OR(H111="",I111=""),"",H111-7*I111)</f>
        <v/>
      </c>
      <c r="M111" s="9">
        <f>IF(OR(H111="",I111=""),"",H111-7*(I111+J111+K111))</f>
        <v/>
      </c>
      <c r="N111" s="6" t="n"/>
      <c r="O111" s="6" t="n"/>
      <c r="P111" s="7" t="inlineStr">
        <is>
          <t>Not Started</t>
        </is>
      </c>
      <c r="Q111" s="10">
        <f>IF(OR(M111="",P111="Approved",P111="Approved as Noted"),"",M111-TODAY())</f>
        <v/>
      </c>
      <c r="R111" s="4" t="inlineStr">
        <is>
          <t>Spec article</t>
        </is>
      </c>
      <c r="S111" s="11" t="inlineStr"/>
      <c r="T111" s="4" t="inlineStr">
        <is>
          <t>Product Test Reports: For each kind of joint sealant, for tests performed by manufacturer and witnessed by a qualified testing agency.</t>
        </is>
      </c>
    </row>
    <row r="112">
      <c r="A112" s="4" t="inlineStr">
        <is>
          <t>079200.05</t>
        </is>
      </c>
      <c r="B112" s="4" t="n">
        <v>0</v>
      </c>
      <c r="C112" s="5" t="inlineStr">
        <is>
          <t>Preconstruction Laboratory Test Reports: From sealant manufacturer, indicating the following: 1.</t>
        </is>
      </c>
      <c r="D112" s="4" t="inlineStr">
        <is>
          <t>07 92 00</t>
        </is>
      </c>
      <c r="E112" s="5" t="inlineStr">
        <is>
          <t>Joint Sealants</t>
        </is>
      </c>
      <c r="F112" s="4" t="inlineStr">
        <is>
          <t>TEST+REPORT</t>
        </is>
      </c>
      <c r="G112" s="4" t="inlineStr">
        <is>
          <t>1.4.B p.149</t>
        </is>
      </c>
      <c r="H112" s="6" t="n"/>
      <c r="I112" s="7" t="inlineStr"/>
      <c r="J112" s="8">
        <f>'Project Rules'!$B$5</f>
        <v/>
      </c>
      <c r="K112" s="8">
        <f>'Project Rules'!$B$6</f>
        <v/>
      </c>
      <c r="L112" s="9">
        <f>IF(OR(H112="",I112=""),"",H112-7*I112)</f>
        <v/>
      </c>
      <c r="M112" s="9">
        <f>IF(OR(H112="",I112=""),"",H112-7*(I112+J112+K112))</f>
        <v/>
      </c>
      <c r="N112" s="6" t="n"/>
      <c r="O112" s="6" t="n"/>
      <c r="P112" s="7" t="inlineStr">
        <is>
          <t>Not Started</t>
        </is>
      </c>
      <c r="Q112" s="10">
        <f>IF(OR(M112="",P112="Approved",P112="Approved as Noted"),"",M112-TODAY())</f>
        <v/>
      </c>
      <c r="R112" s="4" t="inlineStr">
        <is>
          <t>Spec article</t>
        </is>
      </c>
      <c r="S112" s="11" t="inlineStr"/>
      <c r="T112" s="4" t="inlineStr">
        <is>
          <t>Preconstruction Laboratory Test Reports: From sealant manufacturer, indicating the following: 1. Materials forming joint substrates and joint-sealant backings have been tested for compatibility and adhesion with joint sealants. 2. Interpretation of test results and written recommendations for primers and substrate preparation are needed for adhesion.</t>
        </is>
      </c>
    </row>
    <row r="113">
      <c r="A113" s="4" t="inlineStr">
        <is>
          <t>079200.06</t>
        </is>
      </c>
      <c r="B113" s="4" t="n">
        <v>0</v>
      </c>
      <c r="C113" s="5" t="inlineStr">
        <is>
          <t>Preconstruction Field-Adhesion-Test Reports: Indicate which sealants and joint preparation methods resulted in optimum adhesion to joint substrates based on testing...</t>
        </is>
      </c>
      <c r="D113" s="4" t="inlineStr">
        <is>
          <t>07 92 00</t>
        </is>
      </c>
      <c r="E113" s="5" t="inlineStr">
        <is>
          <t>Joint Sealants</t>
        </is>
      </c>
      <c r="F113" s="4" t="inlineStr">
        <is>
          <t>TEST+REPORT</t>
        </is>
      </c>
      <c r="G113" s="4" t="inlineStr">
        <is>
          <t>1.4.C p.149</t>
        </is>
      </c>
      <c r="H113" s="6" t="n"/>
      <c r="I113" s="7" t="inlineStr"/>
      <c r="J113" s="8">
        <f>'Project Rules'!$B$5</f>
        <v/>
      </c>
      <c r="K113" s="8">
        <f>'Project Rules'!$B$6</f>
        <v/>
      </c>
      <c r="L113" s="9">
        <f>IF(OR(H113="",I113=""),"",H113-7*I113)</f>
        <v/>
      </c>
      <c r="M113" s="9">
        <f>IF(OR(H113="",I113=""),"",H113-7*(I113+J113+K113))</f>
        <v/>
      </c>
      <c r="N113" s="6" t="n"/>
      <c r="O113" s="6" t="n"/>
      <c r="P113" s="7" t="inlineStr">
        <is>
          <t>Not Started</t>
        </is>
      </c>
      <c r="Q113" s="10">
        <f>IF(OR(M113="",P113="Approved",P113="Approved as Noted"),"",M113-TODAY())</f>
        <v/>
      </c>
      <c r="R113" s="4" t="inlineStr">
        <is>
          <t>Spec article</t>
        </is>
      </c>
      <c r="S113" s="11" t="inlineStr"/>
      <c r="T113" s="4" t="inlineStr">
        <is>
          <t>Preconstruction Field-Adhesion-Test Reports: Indicate which sealants and joint preparation methods resulted in optimum adhesion to joint substrates based on testing specified in "Preconstruction Testing" Article.</t>
        </is>
      </c>
    </row>
    <row r="114">
      <c r="A114" s="4" t="inlineStr">
        <is>
          <t>079200.07</t>
        </is>
      </c>
      <c r="B114" s="4" t="n">
        <v>0</v>
      </c>
      <c r="C114" s="5" t="inlineStr">
        <is>
          <t>Field-Adhesion-Test Reports: For each sealant application tested.</t>
        </is>
      </c>
      <c r="D114" s="4" t="inlineStr">
        <is>
          <t>07 92 00</t>
        </is>
      </c>
      <c r="E114" s="5" t="inlineStr">
        <is>
          <t>Joint Sealants</t>
        </is>
      </c>
      <c r="F114" s="4" t="inlineStr">
        <is>
          <t>TEST+REPORT</t>
        </is>
      </c>
      <c r="G114" s="4" t="inlineStr">
        <is>
          <t>1.4.D p.149</t>
        </is>
      </c>
      <c r="H114" s="6" t="n"/>
      <c r="I114" s="7" t="inlineStr"/>
      <c r="J114" s="8">
        <f>'Project Rules'!$B$5</f>
        <v/>
      </c>
      <c r="K114" s="8">
        <f>'Project Rules'!$B$6</f>
        <v/>
      </c>
      <c r="L114" s="9">
        <f>IF(OR(H114="",I114=""),"",H114-7*I114)</f>
        <v/>
      </c>
      <c r="M114" s="9">
        <f>IF(OR(H114="",I114=""),"",H114-7*(I114+J114+K114))</f>
        <v/>
      </c>
      <c r="N114" s="6" t="n"/>
      <c r="O114" s="6" t="n"/>
      <c r="P114" s="7" t="inlineStr">
        <is>
          <t>Not Started</t>
        </is>
      </c>
      <c r="Q114" s="10">
        <f>IF(OR(M114="",P114="Approved",P114="Approved as Noted"),"",M114-TODAY())</f>
        <v/>
      </c>
      <c r="R114" s="4" t="inlineStr">
        <is>
          <t>Spec article</t>
        </is>
      </c>
      <c r="S114" s="11" t="inlineStr"/>
      <c r="T114" s="4" t="inlineStr">
        <is>
          <t>Field-Adhesion-Test Reports: For each sealant application tested.</t>
        </is>
      </c>
    </row>
    <row r="115">
      <c r="A115" s="4" t="inlineStr">
        <is>
          <t>079200.08</t>
        </is>
      </c>
      <c r="B115" s="4" t="n">
        <v>0</v>
      </c>
      <c r="C115" s="5" t="inlineStr">
        <is>
          <t>Sample Warranties: For special warranties.</t>
        </is>
      </c>
      <c r="D115" s="4" t="inlineStr">
        <is>
          <t>07 92 00</t>
        </is>
      </c>
      <c r="E115" s="5" t="inlineStr">
        <is>
          <t>Joint Sealants</t>
        </is>
      </c>
      <c r="F115" s="4" t="inlineStr">
        <is>
          <t>SAM+WARR</t>
        </is>
      </c>
      <c r="G115" s="4" t="inlineStr">
        <is>
          <t>1.4.E p.149</t>
        </is>
      </c>
      <c r="H115" s="6" t="n"/>
      <c r="I115" s="7" t="inlineStr"/>
      <c r="J115" s="8">
        <f>'Project Rules'!$B$5</f>
        <v/>
      </c>
      <c r="K115" s="8">
        <f>'Project Rules'!$B$6</f>
        <v/>
      </c>
      <c r="L115" s="9">
        <f>IF(OR(H115="",I115=""),"",H115-7*I115)</f>
        <v/>
      </c>
      <c r="M115" s="9">
        <f>IF(OR(H115="",I115=""),"",H115-7*(I115+J115+K115))</f>
        <v/>
      </c>
      <c r="N115" s="6" t="n"/>
      <c r="O115" s="6" t="n"/>
      <c r="P115" s="7" t="inlineStr">
        <is>
          <t>Not Started</t>
        </is>
      </c>
      <c r="Q115" s="10">
        <f>IF(OR(M115="",P115="Approved",P115="Approved as Noted"),"",M115-TODAY())</f>
        <v/>
      </c>
      <c r="R115" s="4" t="inlineStr">
        <is>
          <t>Spec article</t>
        </is>
      </c>
      <c r="S115" s="11" t="inlineStr"/>
      <c r="T115" s="4" t="inlineStr">
        <is>
          <t>Sample Warranties: For special warranties.</t>
        </is>
      </c>
    </row>
    <row r="116">
      <c r="A116" s="4" t="inlineStr">
        <is>
          <t>079219.01</t>
        </is>
      </c>
      <c r="B116" s="4" t="n">
        <v>0</v>
      </c>
      <c r="C116" s="5" t="inlineStr">
        <is>
          <t>Product Data: For each acoustical joint sealant.</t>
        </is>
      </c>
      <c r="D116" s="4" t="inlineStr">
        <is>
          <t>07 92 19</t>
        </is>
      </c>
      <c r="E116" s="5" t="inlineStr">
        <is>
          <t>Acoustical Joint Sealants</t>
        </is>
      </c>
      <c r="F116" s="4" t="inlineStr">
        <is>
          <t>PD</t>
        </is>
      </c>
      <c r="G116" s="4" t="inlineStr">
        <is>
          <t>1.2.A p.156</t>
        </is>
      </c>
      <c r="H116" s="6" t="n"/>
      <c r="I116" s="7" t="inlineStr"/>
      <c r="J116" s="8">
        <f>'Project Rules'!$B$5</f>
        <v/>
      </c>
      <c r="K116" s="8">
        <f>'Project Rules'!$B$6</f>
        <v/>
      </c>
      <c r="L116" s="9">
        <f>IF(OR(H116="",I116=""),"",H116-7*I116)</f>
        <v/>
      </c>
      <c r="M116" s="9">
        <f>IF(OR(H116="",I116=""),"",H116-7*(I116+J116+K116))</f>
        <v/>
      </c>
      <c r="N116" s="6" t="n"/>
      <c r="O116" s="6" t="n"/>
      <c r="P116" s="7" t="inlineStr">
        <is>
          <t>Not Started</t>
        </is>
      </c>
      <c r="Q116" s="10">
        <f>IF(OR(M116="",P116="Approved",P116="Approved as Noted"),"",M116-TODAY())</f>
        <v/>
      </c>
      <c r="R116" s="4" t="inlineStr">
        <is>
          <t>Spec article</t>
        </is>
      </c>
      <c r="S116" s="11" t="inlineStr"/>
      <c r="T116" s="4" t="inlineStr">
        <is>
          <t>Product Data: For each acoustical joint sealant.</t>
        </is>
      </c>
    </row>
    <row r="117">
      <c r="A117" s="4" t="inlineStr">
        <is>
          <t>079219.02</t>
        </is>
      </c>
      <c r="B117" s="4" t="n">
        <v>0</v>
      </c>
      <c r="C117" s="5" t="inlineStr">
        <is>
          <t>Samples for Initial Selection: Manufacturer's color charts consisting of strips of cured sealants showing the full range of colors available for each product exposed to...</t>
        </is>
      </c>
      <c r="D117" s="4" t="inlineStr">
        <is>
          <t>07 92 19</t>
        </is>
      </c>
      <c r="E117" s="5" t="inlineStr">
        <is>
          <t>Acoustical Joint Sealants</t>
        </is>
      </c>
      <c r="F117" s="4" t="inlineStr">
        <is>
          <t>SAM</t>
        </is>
      </c>
      <c r="G117" s="4" t="inlineStr">
        <is>
          <t>1.2.B p.156</t>
        </is>
      </c>
      <c r="H117" s="6" t="n"/>
      <c r="I117" s="7" t="inlineStr"/>
      <c r="J117" s="8">
        <f>'Project Rules'!$B$5</f>
        <v/>
      </c>
      <c r="K117" s="8">
        <f>'Project Rules'!$B$6</f>
        <v/>
      </c>
      <c r="L117" s="9">
        <f>IF(OR(H117="",I117=""),"",H117-7*I117)</f>
        <v/>
      </c>
      <c r="M117" s="9">
        <f>IF(OR(H117="",I117=""),"",H117-7*(I117+J117+K117))</f>
        <v/>
      </c>
      <c r="N117" s="6" t="n"/>
      <c r="O117" s="6" t="n"/>
      <c r="P117" s="7" t="inlineStr">
        <is>
          <t>Not Started</t>
        </is>
      </c>
      <c r="Q117" s="10">
        <f>IF(OR(M117="",P117="Approved",P117="Approved as Noted"),"",M117-TODAY())</f>
        <v/>
      </c>
      <c r="R117" s="4" t="inlineStr">
        <is>
          <t>Spec article</t>
        </is>
      </c>
      <c r="S117" s="11" t="inlineStr"/>
      <c r="T117" s="4" t="inlineStr">
        <is>
          <t>Samples for Initial Selection: Manufacturer's color charts consisting of strips of cured sealants showing the full range of colors available for each product exposed to view.</t>
        </is>
      </c>
    </row>
    <row r="118">
      <c r="A118" s="4" t="inlineStr">
        <is>
          <t>079219.03</t>
        </is>
      </c>
      <c r="B118" s="4" t="n">
        <v>0</v>
      </c>
      <c r="C118" s="5" t="inlineStr">
        <is>
          <t>Acoustical joint-sealant product schedule: application, joint location, manufacturer, formulation and color</t>
        </is>
      </c>
      <c r="D118" s="4" t="inlineStr">
        <is>
          <t>07 92 19</t>
        </is>
      </c>
      <c r="E118" s="5" t="inlineStr">
        <is>
          <t>Acoustical Joint Sealants</t>
        </is>
      </c>
      <c r="F118" s="4" t="inlineStr">
        <is>
          <t>SCHED</t>
        </is>
      </c>
      <c r="G118" s="4" t="inlineStr">
        <is>
          <t>1.2.C p.156</t>
        </is>
      </c>
      <c r="H118" s="6" t="n"/>
      <c r="I118" s="7" t="inlineStr"/>
      <c r="J118" s="8">
        <f>'Project Rules'!$B$5</f>
        <v/>
      </c>
      <c r="K118" s="8">
        <f>'Project Rules'!$B$6</f>
        <v/>
      </c>
      <c r="L118" s="9">
        <f>IF(OR(H118="",I118=""),"",H118-7*I118)</f>
        <v/>
      </c>
      <c r="M118" s="9">
        <f>IF(OR(H118="",I118=""),"",H118-7*(I118+J118+K118))</f>
        <v/>
      </c>
      <c r="N118" s="6" t="n"/>
      <c r="O118" s="6" t="n"/>
      <c r="P118" s="7" t="inlineStr">
        <is>
          <t>Not Started</t>
        </is>
      </c>
      <c r="Q118" s="10">
        <f>IF(OR(M118="",P118="Approved",P118="Approved as Noted"),"",M118-TODAY())</f>
        <v/>
      </c>
      <c r="R118" s="4" t="inlineStr">
        <is>
          <t>Spec article (merged)</t>
        </is>
      </c>
      <c r="S118" s="11" t="inlineStr"/>
      <c r="T118" s="4" t="inlineStr">
        <is>
          <t>Joint-sealant application, joint location, and designation. Joint-sealant manufacturer and product name. Joint-sealant formulation. Joint-sealant color.</t>
        </is>
      </c>
    </row>
    <row r="119">
      <c r="A119" s="4" t="inlineStr">
        <is>
          <t>079219.04</t>
        </is>
      </c>
      <c r="B119" s="4" t="n">
        <v>0</v>
      </c>
      <c r="C119" s="5" t="inlineStr">
        <is>
          <t>Product Test Reports: For each kind of acoustical joint sealant, for tests performed by manufacturer and witnessed by a qualified testing agency.</t>
        </is>
      </c>
      <c r="D119" s="4" t="inlineStr">
        <is>
          <t>07 92 19</t>
        </is>
      </c>
      <c r="E119" s="5" t="inlineStr">
        <is>
          <t>Acoustical Joint Sealants</t>
        </is>
      </c>
      <c r="F119" s="4" t="inlineStr">
        <is>
          <t>TEST+REPORT</t>
        </is>
      </c>
      <c r="G119" s="4" t="inlineStr">
        <is>
          <t>1.3.A p.156</t>
        </is>
      </c>
      <c r="H119" s="6" t="n"/>
      <c r="I119" s="7" t="inlineStr"/>
      <c r="J119" s="8">
        <f>'Project Rules'!$B$5</f>
        <v/>
      </c>
      <c r="K119" s="8">
        <f>'Project Rules'!$B$6</f>
        <v/>
      </c>
      <c r="L119" s="9">
        <f>IF(OR(H119="",I119=""),"",H119-7*I119)</f>
        <v/>
      </c>
      <c r="M119" s="9">
        <f>IF(OR(H119="",I119=""),"",H119-7*(I119+J119+K119))</f>
        <v/>
      </c>
      <c r="N119" s="6" t="n"/>
      <c r="O119" s="6" t="n"/>
      <c r="P119" s="7" t="inlineStr">
        <is>
          <t>Not Started</t>
        </is>
      </c>
      <c r="Q119" s="10">
        <f>IF(OR(M119="",P119="Approved",P119="Approved as Noted"),"",M119-TODAY())</f>
        <v/>
      </c>
      <c r="R119" s="4" t="inlineStr">
        <is>
          <t>Spec article</t>
        </is>
      </c>
      <c r="S119" s="11" t="inlineStr"/>
      <c r="T119" s="4" t="inlineStr">
        <is>
          <t>Product Test Reports: For each kind of acoustical joint sealant, for tests performed by manufacturer and witnessed by a qualified testing agency.</t>
        </is>
      </c>
    </row>
    <row r="120">
      <c r="A120" s="4" t="inlineStr">
        <is>
          <t>079219.05</t>
        </is>
      </c>
      <c r="B120" s="4" t="n">
        <v>0</v>
      </c>
      <c r="C120" s="5" t="inlineStr">
        <is>
          <t>Sample Warranties: For special warranties.</t>
        </is>
      </c>
      <c r="D120" s="4" t="inlineStr">
        <is>
          <t>07 92 19</t>
        </is>
      </c>
      <c r="E120" s="5" t="inlineStr">
        <is>
          <t>Acoustical Joint Sealants</t>
        </is>
      </c>
      <c r="F120" s="4" t="inlineStr">
        <is>
          <t>SAM+WARR</t>
        </is>
      </c>
      <c r="G120" s="4" t="inlineStr">
        <is>
          <t>1.3.B p.156</t>
        </is>
      </c>
      <c r="H120" s="6" t="n"/>
      <c r="I120" s="7" t="inlineStr"/>
      <c r="J120" s="8">
        <f>'Project Rules'!$B$5</f>
        <v/>
      </c>
      <c r="K120" s="8">
        <f>'Project Rules'!$B$6</f>
        <v/>
      </c>
      <c r="L120" s="9">
        <f>IF(OR(H120="",I120=""),"",H120-7*I120)</f>
        <v/>
      </c>
      <c r="M120" s="9">
        <f>IF(OR(H120="",I120=""),"",H120-7*(I120+J120+K120))</f>
        <v/>
      </c>
      <c r="N120" s="6" t="n"/>
      <c r="O120" s="6" t="n"/>
      <c r="P120" s="7" t="inlineStr">
        <is>
          <t>Not Started</t>
        </is>
      </c>
      <c r="Q120" s="10">
        <f>IF(OR(M120="",P120="Approved",P120="Approved as Noted"),"",M120-TODAY())</f>
        <v/>
      </c>
      <c r="R120" s="4" t="inlineStr">
        <is>
          <t>Spec article</t>
        </is>
      </c>
      <c r="S120" s="11" t="inlineStr"/>
      <c r="T120" s="4" t="inlineStr">
        <is>
          <t>Sample Warranties: For special warranties.</t>
        </is>
      </c>
    </row>
    <row r="121">
      <c r="A121" s="4" t="inlineStr">
        <is>
          <t>092216.01</t>
        </is>
      </c>
      <c r="B121" s="4" t="n">
        <v>0</v>
      </c>
      <c r="C121" s="5" t="inlineStr">
        <is>
          <t>Product Data: For each type of product.</t>
        </is>
      </c>
      <c r="D121" s="4" t="inlineStr">
        <is>
          <t>09 22 16</t>
        </is>
      </c>
      <c r="E121" s="5" t="inlineStr">
        <is>
          <t>Non-Structural Metal Framing</t>
        </is>
      </c>
      <c r="F121" s="4" t="inlineStr">
        <is>
          <t>PD</t>
        </is>
      </c>
      <c r="G121" s="4" t="inlineStr">
        <is>
          <t>1.2.A p.159</t>
        </is>
      </c>
      <c r="H121" s="6" t="n"/>
      <c r="I121" s="7" t="inlineStr"/>
      <c r="J121" s="8">
        <f>'Project Rules'!$B$5</f>
        <v/>
      </c>
      <c r="K121" s="8">
        <f>'Project Rules'!$B$6</f>
        <v/>
      </c>
      <c r="L121" s="9">
        <f>IF(OR(H121="",I121=""),"",H121-7*I121)</f>
        <v/>
      </c>
      <c r="M121" s="9">
        <f>IF(OR(H121="",I121=""),"",H121-7*(I121+J121+K121))</f>
        <v/>
      </c>
      <c r="N121" s="6" t="n"/>
      <c r="O121" s="6" t="n"/>
      <c r="P121" s="7" t="inlineStr">
        <is>
          <t>Not Started</t>
        </is>
      </c>
      <c r="Q121" s="10">
        <f>IF(OR(M121="",P121="Approved",P121="Approved as Noted"),"",M121-TODAY())</f>
        <v/>
      </c>
      <c r="R121" s="4" t="inlineStr">
        <is>
          <t>Spec article</t>
        </is>
      </c>
      <c r="S121" s="11" t="inlineStr"/>
      <c r="T121" s="4" t="inlineStr">
        <is>
          <t>Product Data: For each type of product.</t>
        </is>
      </c>
    </row>
    <row r="122">
      <c r="A122" s="4" t="inlineStr">
        <is>
          <t>092216.02</t>
        </is>
      </c>
      <c r="B122" s="4" t="n">
        <v>0</v>
      </c>
      <c r="C122" s="5" t="inlineStr">
        <is>
          <t>Span and Deflection Design Criteria: Provide height to load deflection charts showing studs supplied conform to deflection limit scheduled and allowed per ASTM C 754.</t>
        </is>
      </c>
      <c r="D122" s="4" t="inlineStr">
        <is>
          <t>09 22 16</t>
        </is>
      </c>
      <c r="E122" s="5" t="inlineStr">
        <is>
          <t>Non-Structural Metal Framing</t>
        </is>
      </c>
      <c r="F122" s="4" t="inlineStr">
        <is>
          <t>CERT</t>
        </is>
      </c>
      <c r="G122" s="4" t="inlineStr">
        <is>
          <t>1.2.B p.159</t>
        </is>
      </c>
      <c r="H122" s="6" t="n"/>
      <c r="I122" s="7" t="inlineStr"/>
      <c r="J122" s="8">
        <f>'Project Rules'!$B$5</f>
        <v/>
      </c>
      <c r="K122" s="8">
        <f>'Project Rules'!$B$6</f>
        <v/>
      </c>
      <c r="L122" s="9">
        <f>IF(OR(H122="",I122=""),"",H122-7*I122)</f>
        <v/>
      </c>
      <c r="M122" s="9">
        <f>IF(OR(H122="",I122=""),"",H122-7*(I122+J122+K122))</f>
        <v/>
      </c>
      <c r="N122" s="6" t="n"/>
      <c r="O122" s="6" t="n"/>
      <c r="P122" s="7" t="inlineStr">
        <is>
          <t>Not Started</t>
        </is>
      </c>
      <c r="Q122" s="10">
        <f>IF(OR(M122="",P122="Approved",P122="Approved as Noted"),"",M122-TODAY())</f>
        <v/>
      </c>
      <c r="R122" s="4" t="inlineStr">
        <is>
          <t>Spec article</t>
        </is>
      </c>
      <c r="S122" s="11" t="inlineStr"/>
      <c r="T122" s="4" t="inlineStr">
        <is>
          <t>Span and Deflection Design Criteria: Provide height to load deflection charts showing studs supplied conform to deflection limit scheduled and allowed per ASTM C 754. 1. Mark on chart(s) showing all major partitions scheduled conformance with criteria. 2. Submit manufacturer’s certification of stud size, thickness, and spacing complying with performance requirements and selections made by architect are correct for application shown.</t>
        </is>
      </c>
    </row>
    <row r="123">
      <c r="A123" s="4" t="inlineStr">
        <is>
          <t>092216.03</t>
        </is>
      </c>
      <c r="B123" s="4" t="n">
        <v>0</v>
      </c>
      <c r="C123" s="5" t="inlineStr">
        <is>
          <t>Product Certificates: For each type of code-compliance certification for studs and tracks.</t>
        </is>
      </c>
      <c r="D123" s="4" t="inlineStr">
        <is>
          <t>09 22 16</t>
        </is>
      </c>
      <c r="E123" s="5" t="inlineStr">
        <is>
          <t>Non-Structural Metal Framing</t>
        </is>
      </c>
      <c r="F123" s="4" t="inlineStr">
        <is>
          <t>CERT</t>
        </is>
      </c>
      <c r="G123" s="4" t="inlineStr">
        <is>
          <t>1.3.A p.159</t>
        </is>
      </c>
      <c r="H123" s="6" t="n"/>
      <c r="I123" s="7" t="inlineStr"/>
      <c r="J123" s="8">
        <f>'Project Rules'!$B$5</f>
        <v/>
      </c>
      <c r="K123" s="8">
        <f>'Project Rules'!$B$6</f>
        <v/>
      </c>
      <c r="L123" s="9">
        <f>IF(OR(H123="",I123=""),"",H123-7*I123)</f>
        <v/>
      </c>
      <c r="M123" s="9">
        <f>IF(OR(H123="",I123=""),"",H123-7*(I123+J123+K123))</f>
        <v/>
      </c>
      <c r="N123" s="6" t="n"/>
      <c r="O123" s="6" t="n"/>
      <c r="P123" s="7" t="inlineStr">
        <is>
          <t>Not Started</t>
        </is>
      </c>
      <c r="Q123" s="10">
        <f>IF(OR(M123="",P123="Approved",P123="Approved as Noted"),"",M123-TODAY())</f>
        <v/>
      </c>
      <c r="R123" s="4" t="inlineStr">
        <is>
          <t>Spec article</t>
        </is>
      </c>
      <c r="S123" s="11" t="inlineStr"/>
      <c r="T123" s="4" t="inlineStr">
        <is>
          <t>Product Certificates: For each type of code-compliance certification for studs and tracks.</t>
        </is>
      </c>
    </row>
    <row r="124">
      <c r="A124" s="4" t="inlineStr">
        <is>
          <t>092216.04</t>
        </is>
      </c>
      <c r="B124" s="4" t="n">
        <v>0</v>
      </c>
      <c r="C124" s="5" t="inlineStr">
        <is>
          <t>Evaluation Reports: For firestop tracks post-installed anchors and power-actuated fasteners, from ICC-ES or other qualified testing agency acceptable to authorities...</t>
        </is>
      </c>
      <c r="D124" s="4" t="inlineStr">
        <is>
          <t>09 22 16</t>
        </is>
      </c>
      <c r="E124" s="5" t="inlineStr">
        <is>
          <t>Non-Structural Metal Framing</t>
        </is>
      </c>
      <c r="F124" s="4" t="inlineStr">
        <is>
          <t>REPORT</t>
        </is>
      </c>
      <c r="G124" s="4" t="inlineStr">
        <is>
          <t>1.3.B p.159</t>
        </is>
      </c>
      <c r="H124" s="6" t="n"/>
      <c r="I124" s="7" t="inlineStr"/>
      <c r="J124" s="8">
        <f>'Project Rules'!$B$5</f>
        <v/>
      </c>
      <c r="K124" s="8">
        <f>'Project Rules'!$B$6</f>
        <v/>
      </c>
      <c r="L124" s="9">
        <f>IF(OR(H124="",I124=""),"",H124-7*I124)</f>
        <v/>
      </c>
      <c r="M124" s="9">
        <f>IF(OR(H124="",I124=""),"",H124-7*(I124+J124+K124))</f>
        <v/>
      </c>
      <c r="N124" s="6" t="n"/>
      <c r="O124" s="6" t="n"/>
      <c r="P124" s="7" t="inlineStr">
        <is>
          <t>Not Started</t>
        </is>
      </c>
      <c r="Q124" s="10">
        <f>IF(OR(M124="",P124="Approved",P124="Approved as Noted"),"",M124-TODAY())</f>
        <v/>
      </c>
      <c r="R124" s="4" t="inlineStr">
        <is>
          <t>Spec article</t>
        </is>
      </c>
      <c r="S124" s="11" t="inlineStr"/>
      <c r="T124" s="4" t="inlineStr">
        <is>
          <t>Evaluation Reports: For firestop tracks post-installed anchors and power-actuated fasteners, from ICC-ES or other qualified testing agency acceptable to authorities having jurisdiction.</t>
        </is>
      </c>
    </row>
    <row r="125">
      <c r="A125" s="4" t="inlineStr">
        <is>
          <t>092900.01</t>
        </is>
      </c>
      <c r="B125" s="4" t="n">
        <v>0</v>
      </c>
      <c r="C125" s="5" t="inlineStr">
        <is>
          <t>Product Data: For each type of product.</t>
        </is>
      </c>
      <c r="D125" s="4" t="inlineStr">
        <is>
          <t>09 29 00</t>
        </is>
      </c>
      <c r="E125" s="5" t="inlineStr">
        <is>
          <t>Gypsum Board</t>
        </is>
      </c>
      <c r="F125" s="4" t="inlineStr">
        <is>
          <t>PD</t>
        </is>
      </c>
      <c r="G125" s="4" t="inlineStr">
        <is>
          <t>1.2.A p.166</t>
        </is>
      </c>
      <c r="H125" s="6" t="n"/>
      <c r="I125" s="7" t="inlineStr"/>
      <c r="J125" s="8">
        <f>'Project Rules'!$B$5</f>
        <v/>
      </c>
      <c r="K125" s="8">
        <f>'Project Rules'!$B$6</f>
        <v/>
      </c>
      <c r="L125" s="9">
        <f>IF(OR(H125="",I125=""),"",H125-7*I125)</f>
        <v/>
      </c>
      <c r="M125" s="9">
        <f>IF(OR(H125="",I125=""),"",H125-7*(I125+J125+K125))</f>
        <v/>
      </c>
      <c r="N125" s="6" t="n"/>
      <c r="O125" s="6" t="n"/>
      <c r="P125" s="7" t="inlineStr">
        <is>
          <t>Not Started</t>
        </is>
      </c>
      <c r="Q125" s="10">
        <f>IF(OR(M125="",P125="Approved",P125="Approved as Noted"),"",M125-TODAY())</f>
        <v/>
      </c>
      <c r="R125" s="4" t="inlineStr">
        <is>
          <t>Spec article</t>
        </is>
      </c>
      <c r="S125" s="11" t="inlineStr"/>
      <c r="T125" s="4" t="inlineStr">
        <is>
          <t>Product Data: For each type of product.</t>
        </is>
      </c>
    </row>
    <row r="126">
      <c r="A126" s="4" t="inlineStr">
        <is>
          <t>095113.01</t>
        </is>
      </c>
      <c r="B126" s="4" t="n">
        <v>0</v>
      </c>
      <c r="C126" s="5" t="inlineStr">
        <is>
          <t>Product Data: For each type of product.</t>
        </is>
      </c>
      <c r="D126" s="4" t="inlineStr">
        <is>
          <t>09 51 13</t>
        </is>
      </c>
      <c r="E126" s="5" t="inlineStr">
        <is>
          <t>Acoustical Panel Ceilings</t>
        </is>
      </c>
      <c r="F126" s="4" t="inlineStr">
        <is>
          <t>PD</t>
        </is>
      </c>
      <c r="G126" s="4" t="inlineStr">
        <is>
          <t>1.2.A p.171</t>
        </is>
      </c>
      <c r="H126" s="6" t="n"/>
      <c r="I126" s="7" t="inlineStr"/>
      <c r="J126" s="8">
        <f>'Project Rules'!$B$5</f>
        <v/>
      </c>
      <c r="K126" s="8">
        <f>'Project Rules'!$B$6</f>
        <v/>
      </c>
      <c r="L126" s="9">
        <f>IF(OR(H126="",I126=""),"",H126-7*I126)</f>
        <v/>
      </c>
      <c r="M126" s="9">
        <f>IF(OR(H126="",I126=""),"",H126-7*(I126+J126+K126))</f>
        <v/>
      </c>
      <c r="N126" s="6" t="n"/>
      <c r="O126" s="6" t="n"/>
      <c r="P126" s="7" t="inlineStr">
        <is>
          <t>Not Started</t>
        </is>
      </c>
      <c r="Q126" s="10">
        <f>IF(OR(M126="",P126="Approved",P126="Approved as Noted"),"",M126-TODAY())</f>
        <v/>
      </c>
      <c r="R126" s="4" t="inlineStr">
        <is>
          <t>Spec article</t>
        </is>
      </c>
      <c r="S126" s="11" t="inlineStr"/>
      <c r="T126" s="4" t="inlineStr">
        <is>
          <t>Product Data: For each type of product.</t>
        </is>
      </c>
    </row>
    <row r="127">
      <c r="A127" s="4" t="inlineStr">
        <is>
          <t>095113.02</t>
        </is>
      </c>
      <c r="B127" s="4" t="n">
        <v>0</v>
      </c>
      <c r="C127" s="5" t="inlineStr">
        <is>
          <t>Samples for Verification: For each component indicated and for each exposed finish required, prepared on Samples of sizes indicated below: 1.</t>
        </is>
      </c>
      <c r="D127" s="4" t="inlineStr">
        <is>
          <t>09 51 13</t>
        </is>
      </c>
      <c r="E127" s="5" t="inlineStr">
        <is>
          <t>Acoustical Panel Ceilings</t>
        </is>
      </c>
      <c r="F127" s="4" t="inlineStr">
        <is>
          <t>SAM</t>
        </is>
      </c>
      <c r="G127" s="4" t="inlineStr">
        <is>
          <t>1.2.B p.171</t>
        </is>
      </c>
      <c r="H127" s="6" t="n"/>
      <c r="I127" s="7" t="inlineStr"/>
      <c r="J127" s="8">
        <f>'Project Rules'!$B$5</f>
        <v/>
      </c>
      <c r="K127" s="8">
        <f>'Project Rules'!$B$6</f>
        <v/>
      </c>
      <c r="L127" s="9">
        <f>IF(OR(H127="",I127=""),"",H127-7*I127)</f>
        <v/>
      </c>
      <c r="M127" s="9">
        <f>IF(OR(H127="",I127=""),"",H127-7*(I127+J127+K127))</f>
        <v/>
      </c>
      <c r="N127" s="6" t="n"/>
      <c r="O127" s="6" t="n"/>
      <c r="P127" s="7" t="inlineStr">
        <is>
          <t>Not Started</t>
        </is>
      </c>
      <c r="Q127" s="10">
        <f>IF(OR(M127="",P127="Approved",P127="Approved as Noted"),"",M127-TODAY())</f>
        <v/>
      </c>
      <c r="R127" s="4" t="inlineStr">
        <is>
          <t>Spec article</t>
        </is>
      </c>
      <c r="S127" s="11" t="inlineStr"/>
      <c r="T127" s="4" t="inlineStr">
        <is>
          <t>Samples for Verification: For each component indicated and for each exposed finish required, prepared on Samples of sizes indicated below: 1. Acoustical Panels: Samples of each type, color, pattern, and texture in manufacturer’s standard sample size, minimum 6 inches square.</t>
        </is>
      </c>
    </row>
    <row r="128">
      <c r="A128" s="4" t="inlineStr">
        <is>
          <t>095113.03</t>
        </is>
      </c>
      <c r="B128" s="4" t="n">
        <v>0</v>
      </c>
      <c r="C128" s="5" t="inlineStr">
        <is>
          <t>Coordination Drawings: Reflected ceiling plans, drawn to scale, on which the following items are shown and coordinated with each other, using input from installers of...</t>
        </is>
      </c>
      <c r="D128" s="4" t="inlineStr">
        <is>
          <t>09 51 13</t>
        </is>
      </c>
      <c r="E128" s="5" t="inlineStr">
        <is>
          <t>Acoustical Panel Ceilings</t>
        </is>
      </c>
      <c r="F128" s="4" t="inlineStr">
        <is>
          <t>SD</t>
        </is>
      </c>
      <c r="G128" s="4" t="inlineStr">
        <is>
          <t>1.3.A p.171</t>
        </is>
      </c>
      <c r="H128" s="6" t="n"/>
      <c r="I128" s="7" t="inlineStr"/>
      <c r="J128" s="8">
        <f>'Project Rules'!$B$5</f>
        <v/>
      </c>
      <c r="K128" s="8">
        <f>'Project Rules'!$B$6</f>
        <v/>
      </c>
      <c r="L128" s="9">
        <f>IF(OR(H128="",I128=""),"",H128-7*I128)</f>
        <v/>
      </c>
      <c r="M128" s="9">
        <f>IF(OR(H128="",I128=""),"",H128-7*(I128+J128+K128))</f>
        <v/>
      </c>
      <c r="N128" s="6" t="n"/>
      <c r="O128" s="6" t="n"/>
      <c r="P128" s="7" t="inlineStr">
        <is>
          <t>Not Started</t>
        </is>
      </c>
      <c r="Q128" s="10">
        <f>IF(OR(M128="",P128="Approved",P128="Approved as Noted"),"",M128-TODAY())</f>
        <v/>
      </c>
      <c r="R128" s="4" t="inlineStr">
        <is>
          <t>Spec article</t>
        </is>
      </c>
      <c r="S128" s="11" t="inlineStr"/>
      <c r="T128" s="4" t="inlineStr">
        <is>
          <t>Coordination Drawings: Reflected ceiling plans, drawn to scale, on which the following items are shown and coordinated with each other, using input from installers of the items involved: 1. Ceiling suspension-system members. 2. Structural members to which suspension systems will be attached. 3. Method of attaching hangers to building structure. a. Furnish layouts for cast-in-place anchors, clips, and other ceiling attachment devices whose installation is specified in other Sections. 4. Carrying channels or other supplemental support for hanger-wire attachment where conditions do not permit installation of hanger wires at required spacing. 5. Size and location of initial access modules for acoustical panels. 6. Items penetrating finished ceiling and ceiling-mounted items including the following: a. Lighting fixtures. b. Diffusers. c. Grilles. d. Speakers. e. Sprinklers. f. Access panels. g. Perimeter moldings. 7. Minimum Drawing Scale: 1/4 inch = 1 foot (1:48).</t>
        </is>
      </c>
    </row>
    <row r="129">
      <c r="A129" s="4" t="inlineStr">
        <is>
          <t>095113.04</t>
        </is>
      </c>
      <c r="B129" s="4" t="n">
        <v>0</v>
      </c>
      <c r="C129" s="5" t="inlineStr">
        <is>
          <t>Qualification Data: For testing agency.</t>
        </is>
      </c>
      <c r="D129" s="4" t="inlineStr">
        <is>
          <t>09 51 13</t>
        </is>
      </c>
      <c r="E129" s="5" t="inlineStr">
        <is>
          <t>Acoustical Panel Ceilings</t>
        </is>
      </c>
      <c r="F129" s="4" t="inlineStr">
        <is>
          <t>CERT</t>
        </is>
      </c>
      <c r="G129" s="4" t="inlineStr">
        <is>
          <t>1.3.B p.171</t>
        </is>
      </c>
      <c r="H129" s="6" t="n"/>
      <c r="I129" s="7" t="inlineStr"/>
      <c r="J129" s="8">
        <f>'Project Rules'!$B$5</f>
        <v/>
      </c>
      <c r="K129" s="8">
        <f>'Project Rules'!$B$6</f>
        <v/>
      </c>
      <c r="L129" s="9">
        <f>IF(OR(H129="",I129=""),"",H129-7*I129)</f>
        <v/>
      </c>
      <c r="M129" s="9">
        <f>IF(OR(H129="",I129=""),"",H129-7*(I129+J129+K129))</f>
        <v/>
      </c>
      <c r="N129" s="6" t="n"/>
      <c r="O129" s="6" t="n"/>
      <c r="P129" s="7" t="inlineStr">
        <is>
          <t>Not Started</t>
        </is>
      </c>
      <c r="Q129" s="10">
        <f>IF(OR(M129="",P129="Approved",P129="Approved as Noted"),"",M129-TODAY())</f>
        <v/>
      </c>
      <c r="R129" s="4" t="inlineStr">
        <is>
          <t>Spec article</t>
        </is>
      </c>
      <c r="S129" s="11" t="inlineStr"/>
      <c r="T129" s="4" t="inlineStr">
        <is>
          <t>Qualification Data: For testing agency.</t>
        </is>
      </c>
    </row>
    <row r="130">
      <c r="A130" s="4" t="inlineStr">
        <is>
          <t>095113.05</t>
        </is>
      </c>
      <c r="B130" s="4" t="n">
        <v>0</v>
      </c>
      <c r="C130" s="5" t="inlineStr">
        <is>
          <t>Product Test Reports: For each acoustical panel ceiling, for tests performed by manufacturer and witnessed by a qualified testing agency.</t>
        </is>
      </c>
      <c r="D130" s="4" t="inlineStr">
        <is>
          <t>09 51 13</t>
        </is>
      </c>
      <c r="E130" s="5" t="inlineStr">
        <is>
          <t>Acoustical Panel Ceilings</t>
        </is>
      </c>
      <c r="F130" s="4" t="inlineStr">
        <is>
          <t>TEST+REPORT</t>
        </is>
      </c>
      <c r="G130" s="4" t="inlineStr">
        <is>
          <t>1.3.C p.171</t>
        </is>
      </c>
      <c r="H130" s="6" t="n"/>
      <c r="I130" s="7" t="inlineStr"/>
      <c r="J130" s="8">
        <f>'Project Rules'!$B$5</f>
        <v/>
      </c>
      <c r="K130" s="8">
        <f>'Project Rules'!$B$6</f>
        <v/>
      </c>
      <c r="L130" s="9">
        <f>IF(OR(H130="",I130=""),"",H130-7*I130)</f>
        <v/>
      </c>
      <c r="M130" s="9">
        <f>IF(OR(H130="",I130=""),"",H130-7*(I130+J130+K130))</f>
        <v/>
      </c>
      <c r="N130" s="6" t="n"/>
      <c r="O130" s="6" t="n"/>
      <c r="P130" s="7" t="inlineStr">
        <is>
          <t>Not Started</t>
        </is>
      </c>
      <c r="Q130" s="10">
        <f>IF(OR(M130="",P130="Approved",P130="Approved as Noted"),"",M130-TODAY())</f>
        <v/>
      </c>
      <c r="R130" s="4" t="inlineStr">
        <is>
          <t>Spec article</t>
        </is>
      </c>
      <c r="S130" s="11" t="inlineStr"/>
      <c r="T130" s="4" t="inlineStr">
        <is>
          <t>Product Test Reports: For each acoustical panel ceiling, for tests performed by manufacturer and witnessed by a qualified testing agency.</t>
        </is>
      </c>
    </row>
    <row r="131">
      <c r="A131" s="4" t="inlineStr">
        <is>
          <t>095113.06</t>
        </is>
      </c>
      <c r="B131" s="4" t="n">
        <v>0</v>
      </c>
      <c r="C131" s="5" t="inlineStr">
        <is>
          <t>Evaluation Reports: For each acoustical panel ceiling suspension system and anchor and fastener type, from ICC-ES.</t>
        </is>
      </c>
      <c r="D131" s="4" t="inlineStr">
        <is>
          <t>09 51 13</t>
        </is>
      </c>
      <c r="E131" s="5" t="inlineStr">
        <is>
          <t>Acoustical Panel Ceilings</t>
        </is>
      </c>
      <c r="F131" s="4" t="inlineStr">
        <is>
          <t>REPORT</t>
        </is>
      </c>
      <c r="G131" s="4" t="inlineStr">
        <is>
          <t>1.3.D p.171</t>
        </is>
      </c>
      <c r="H131" s="6" t="n"/>
      <c r="I131" s="7" t="inlineStr"/>
      <c r="J131" s="8">
        <f>'Project Rules'!$B$5</f>
        <v/>
      </c>
      <c r="K131" s="8">
        <f>'Project Rules'!$B$6</f>
        <v/>
      </c>
      <c r="L131" s="9">
        <f>IF(OR(H131="",I131=""),"",H131-7*I131)</f>
        <v/>
      </c>
      <c r="M131" s="9">
        <f>IF(OR(H131="",I131=""),"",H131-7*(I131+J131+K131))</f>
        <v/>
      </c>
      <c r="N131" s="6" t="n"/>
      <c r="O131" s="6" t="n"/>
      <c r="P131" s="7" t="inlineStr">
        <is>
          <t>Not Started</t>
        </is>
      </c>
      <c r="Q131" s="10">
        <f>IF(OR(M131="",P131="Approved",P131="Approved as Noted"),"",M131-TODAY())</f>
        <v/>
      </c>
      <c r="R131" s="4" t="inlineStr">
        <is>
          <t>Spec article</t>
        </is>
      </c>
      <c r="S131" s="11" t="inlineStr"/>
      <c r="T131" s="4" t="inlineStr">
        <is>
          <t>Evaluation Reports: For each acoustical panel ceiling suspension system and anchor and fastener type, from ICC-ES.</t>
        </is>
      </c>
    </row>
    <row r="132">
      <c r="A132" s="4" t="inlineStr">
        <is>
          <t>095113.07</t>
        </is>
      </c>
      <c r="B132" s="4" t="n">
        <v>0</v>
      </c>
      <c r="C132" s="5" t="inlineStr">
        <is>
          <t>Maintenance Data: For finishes to include in maintenance manuals.</t>
        </is>
      </c>
      <c r="D132" s="4" t="inlineStr">
        <is>
          <t>09 51 13</t>
        </is>
      </c>
      <c r="E132" s="5" t="inlineStr">
        <is>
          <t>Acoustical Panel Ceilings</t>
        </is>
      </c>
      <c r="F132" s="4" t="inlineStr">
        <is>
          <t>OM</t>
        </is>
      </c>
      <c r="G132" s="4" t="inlineStr">
        <is>
          <t>1.4.A p.171</t>
        </is>
      </c>
      <c r="H132" s="6" t="n"/>
      <c r="I132" s="7" t="inlineStr"/>
      <c r="J132" s="8">
        <f>'Project Rules'!$B$5</f>
        <v/>
      </c>
      <c r="K132" s="8">
        <f>'Project Rules'!$B$6</f>
        <v/>
      </c>
      <c r="L132" s="9">
        <f>IF(OR(H132="",I132=""),"",H132-7*I132)</f>
        <v/>
      </c>
      <c r="M132" s="9">
        <f>IF(OR(H132="",I132=""),"",H132-7*(I132+J132+K132))</f>
        <v/>
      </c>
      <c r="N132" s="6" t="n"/>
      <c r="O132" s="6" t="n"/>
      <c r="P132" s="7" t="inlineStr">
        <is>
          <t>Not Started</t>
        </is>
      </c>
      <c r="Q132" s="10">
        <f>IF(OR(M132="",P132="Approved",P132="Approved as Noted"),"",M132-TODAY())</f>
        <v/>
      </c>
      <c r="R132" s="4" t="inlineStr">
        <is>
          <t>Spec article</t>
        </is>
      </c>
      <c r="S132" s="11" t="inlineStr"/>
      <c r="T132" s="4" t="inlineStr">
        <is>
          <t>Maintenance Data: For finishes to include in maintenance manuals.</t>
        </is>
      </c>
    </row>
    <row r="133">
      <c r="A133" s="4" t="inlineStr">
        <is>
          <t>095113.08</t>
        </is>
      </c>
      <c r="B133" s="4" t="n">
        <v>0</v>
      </c>
      <c r="C133" s="5" t="inlineStr">
        <is>
          <t>Extra materials: ceiling panels from the same product run</t>
        </is>
      </c>
      <c r="D133" s="4" t="inlineStr">
        <is>
          <t>09 51 13</t>
        </is>
      </c>
      <c r="E133" s="5" t="inlineStr">
        <is>
          <t>Acoustical Panel Ceilings</t>
        </is>
      </c>
      <c r="F133" s="4" t="inlineStr">
        <is>
          <t>REPORT</t>
        </is>
      </c>
      <c r="G133" s="4" t="inlineStr">
        <is>
          <t>1.5.A p.171</t>
        </is>
      </c>
      <c r="H133" s="6" t="n"/>
      <c r="I133" s="7" t="inlineStr"/>
      <c r="J133" s="8">
        <f>'Project Rules'!$B$5</f>
        <v/>
      </c>
      <c r="K133" s="8">
        <f>'Project Rules'!$B$6</f>
        <v/>
      </c>
      <c r="L133" s="9">
        <f>IF(OR(H133="",I133=""),"",H133-7*I133)</f>
        <v/>
      </c>
      <c r="M133" s="9">
        <f>IF(OR(H133="",I133=""),"",H133-7*(I133+J133+K133))</f>
        <v/>
      </c>
      <c r="N133" s="6" t="n"/>
      <c r="O133" s="6" t="n"/>
      <c r="P133" s="7" t="inlineStr">
        <is>
          <t>Not Started</t>
        </is>
      </c>
      <c r="Q133" s="10">
        <f>IF(OR(M133="",P133="Approved",P133="Approved as Noted"),"",M133-TODAY())</f>
        <v/>
      </c>
      <c r="R133" s="4" t="inlineStr">
        <is>
          <t>Spec article</t>
        </is>
      </c>
      <c r="S133" s="11" t="inlineStr">
        <is>
          <t>Delivered to Owner, not a review submittal</t>
        </is>
      </c>
      <c r="T133" s="4" t="inlineStr">
        <is>
          <t>Furnish extra materials, from the same product run, that match products installed and that are packaged with protective covering for storage and identified with labels describing contents. 1. Acoustical Ceiling Units: Full-size panels equal to 2percent of quantity installed. 2. Suspension-System Components: Quantity of each exposed component equal to 2 percent of quantity installed. 3. Hold-Down Clips: Equal to 2percent of quantity installed.</t>
        </is>
      </c>
    </row>
    <row r="134">
      <c r="A134" s="4" t="inlineStr">
        <is>
          <t>096516.01</t>
        </is>
      </c>
      <c r="B134" s="4" t="n">
        <v>0</v>
      </c>
      <c r="C134" s="5" t="inlineStr">
        <is>
          <t>Product Data: For each type of product.</t>
        </is>
      </c>
      <c r="D134" s="4" t="inlineStr">
        <is>
          <t>09 65 16</t>
        </is>
      </c>
      <c r="E134" s="5" t="inlineStr">
        <is>
          <t>Resilient Sheet Flooring</t>
        </is>
      </c>
      <c r="F134" s="4" t="inlineStr">
        <is>
          <t>PD</t>
        </is>
      </c>
      <c r="G134" s="4" t="inlineStr">
        <is>
          <t>1.2.A p.176</t>
        </is>
      </c>
      <c r="H134" s="6" t="n"/>
      <c r="I134" s="7" t="inlineStr"/>
      <c r="J134" s="8">
        <f>'Project Rules'!$B$5</f>
        <v/>
      </c>
      <c r="K134" s="8">
        <f>'Project Rules'!$B$6</f>
        <v/>
      </c>
      <c r="L134" s="9">
        <f>IF(OR(H134="",I134=""),"",H134-7*I134)</f>
        <v/>
      </c>
      <c r="M134" s="9">
        <f>IF(OR(H134="",I134=""),"",H134-7*(I134+J134+K134))</f>
        <v/>
      </c>
      <c r="N134" s="6" t="n"/>
      <c r="O134" s="6" t="n"/>
      <c r="P134" s="7" t="inlineStr">
        <is>
          <t>Not Started</t>
        </is>
      </c>
      <c r="Q134" s="10">
        <f>IF(OR(M134="",P134="Approved",P134="Approved as Noted"),"",M134-TODAY())</f>
        <v/>
      </c>
      <c r="R134" s="4" t="inlineStr">
        <is>
          <t>Spec article</t>
        </is>
      </c>
      <c r="S134" s="11" t="inlineStr"/>
      <c r="T134" s="4" t="inlineStr">
        <is>
          <t>Product Data: For each type of product.</t>
        </is>
      </c>
    </row>
    <row r="135">
      <c r="A135" s="4" t="inlineStr">
        <is>
          <t>096516.02</t>
        </is>
      </c>
      <c r="B135" s="4" t="n">
        <v>0</v>
      </c>
      <c r="C135" s="5" t="inlineStr">
        <is>
          <t>Include sheet flooring layouts, locations of seams, edges, columns, doorways, enclosing partitions, built-in furniture, cabinets, and cutouts.</t>
        </is>
      </c>
      <c r="D135" s="4" t="inlineStr">
        <is>
          <t>09 65 16</t>
        </is>
      </c>
      <c r="E135" s="5" t="inlineStr">
        <is>
          <t>Resilient Sheet Flooring</t>
        </is>
      </c>
      <c r="F135" s="4" t="inlineStr">
        <is>
          <t>SD</t>
        </is>
      </c>
      <c r="G135" s="4" t="inlineStr">
        <is>
          <t>1.2.B.1 p.176</t>
        </is>
      </c>
      <c r="H135" s="6" t="n"/>
      <c r="I135" s="7" t="inlineStr"/>
      <c r="J135" s="8">
        <f>'Project Rules'!$B$5</f>
        <v/>
      </c>
      <c r="K135" s="8">
        <f>'Project Rules'!$B$6</f>
        <v/>
      </c>
      <c r="L135" s="9">
        <f>IF(OR(H135="",I135=""),"",H135-7*I135)</f>
        <v/>
      </c>
      <c r="M135" s="9">
        <f>IF(OR(H135="",I135=""),"",H135-7*(I135+J135+K135))</f>
        <v/>
      </c>
      <c r="N135" s="6" t="n"/>
      <c r="O135" s="6" t="n"/>
      <c r="P135" s="7" t="inlineStr">
        <is>
          <t>Not Started</t>
        </is>
      </c>
      <c r="Q135" s="10">
        <f>IF(OR(M135="",P135="Approved",P135="Approved as Noted"),"",M135-TODAY())</f>
        <v/>
      </c>
      <c r="R135" s="4" t="inlineStr">
        <is>
          <t>Spec article</t>
        </is>
      </c>
      <c r="S135" s="11" t="inlineStr"/>
      <c r="T135" s="4" t="inlineStr">
        <is>
          <t>Include sheet flooring layouts, locations of seams, edges, columns, doorways, enclosing partitions, built-in furniture, cabinets, and cutouts.</t>
        </is>
      </c>
    </row>
    <row r="136">
      <c r="A136" s="4" t="inlineStr">
        <is>
          <t>096516.03</t>
        </is>
      </c>
      <c r="B136" s="4" t="n">
        <v>0</v>
      </c>
      <c r="C136" s="5" t="inlineStr">
        <is>
          <t>Show details of special patterns.</t>
        </is>
      </c>
      <c r="D136" s="4" t="inlineStr">
        <is>
          <t>09 65 16</t>
        </is>
      </c>
      <c r="E136" s="5" t="inlineStr">
        <is>
          <t>Resilient Sheet Flooring</t>
        </is>
      </c>
      <c r="F136" s="4" t="inlineStr">
        <is>
          <t>SD</t>
        </is>
      </c>
      <c r="G136" s="4" t="inlineStr">
        <is>
          <t>1.2.B.2 p.176</t>
        </is>
      </c>
      <c r="H136" s="6" t="n"/>
      <c r="I136" s="7" t="inlineStr"/>
      <c r="J136" s="8">
        <f>'Project Rules'!$B$5</f>
        <v/>
      </c>
      <c r="K136" s="8">
        <f>'Project Rules'!$B$6</f>
        <v/>
      </c>
      <c r="L136" s="9">
        <f>IF(OR(H136="",I136=""),"",H136-7*I136)</f>
        <v/>
      </c>
      <c r="M136" s="9">
        <f>IF(OR(H136="",I136=""),"",H136-7*(I136+J136+K136))</f>
        <v/>
      </c>
      <c r="N136" s="6" t="n"/>
      <c r="O136" s="6" t="n"/>
      <c r="P136" s="7" t="inlineStr">
        <is>
          <t>Not Started</t>
        </is>
      </c>
      <c r="Q136" s="10">
        <f>IF(OR(M136="",P136="Approved",P136="Approved as Noted"),"",M136-TODAY())</f>
        <v/>
      </c>
      <c r="R136" s="4" t="inlineStr">
        <is>
          <t>Spec article</t>
        </is>
      </c>
      <c r="S136" s="11" t="inlineStr"/>
      <c r="T136" s="4" t="inlineStr">
        <is>
          <t>Show details of special patterns.</t>
        </is>
      </c>
    </row>
    <row r="137">
      <c r="A137" s="4" t="inlineStr">
        <is>
          <t>096516.04</t>
        </is>
      </c>
      <c r="B137" s="4" t="n">
        <v>0</v>
      </c>
      <c r="C137" s="5" t="inlineStr">
        <is>
          <t>Samples for Verification: For each type of resilient sheet flooring, in manufacturer's standard size, but not less than 6-by-9-inch (150-by-230-mm) sections of each...</t>
        </is>
      </c>
      <c r="D137" s="4" t="inlineStr">
        <is>
          <t>09 65 16</t>
        </is>
      </c>
      <c r="E137" s="5" t="inlineStr">
        <is>
          <t>Resilient Sheet Flooring</t>
        </is>
      </c>
      <c r="F137" s="4" t="inlineStr">
        <is>
          <t>SAM</t>
        </is>
      </c>
      <c r="G137" s="4" t="inlineStr">
        <is>
          <t>1.2.C p.176</t>
        </is>
      </c>
      <c r="H137" s="6" t="n"/>
      <c r="I137" s="7" t="inlineStr"/>
      <c r="J137" s="8">
        <f>'Project Rules'!$B$5</f>
        <v/>
      </c>
      <c r="K137" s="8">
        <f>'Project Rules'!$B$6</f>
        <v/>
      </c>
      <c r="L137" s="9">
        <f>IF(OR(H137="",I137=""),"",H137-7*I137)</f>
        <v/>
      </c>
      <c r="M137" s="9">
        <f>IF(OR(H137="",I137=""),"",H137-7*(I137+J137+K137))</f>
        <v/>
      </c>
      <c r="N137" s="6" t="n"/>
      <c r="O137" s="6" t="n"/>
      <c r="P137" s="7" t="inlineStr">
        <is>
          <t>Not Started</t>
        </is>
      </c>
      <c r="Q137" s="10">
        <f>IF(OR(M137="",P137="Approved",P137="Approved as Noted"),"",M137-TODAY())</f>
        <v/>
      </c>
      <c r="R137" s="4" t="inlineStr">
        <is>
          <t>Spec article</t>
        </is>
      </c>
      <c r="S137" s="11" t="inlineStr"/>
      <c r="T137" s="4" t="inlineStr">
        <is>
          <t>Samples for Verification: For each type of resilient sheet flooring, in manufacturer's standard size, but not less than 6-by-9-inch (150-by-230-mm) sections of each color, texture, and pattern required. 1. For heat-welding bead, manufacturer's standard-size Samples, but not less than 9 inches (230 mm) long, of each color required.</t>
        </is>
      </c>
    </row>
    <row r="138">
      <c r="A138" s="4" t="inlineStr">
        <is>
          <t>096516.05</t>
        </is>
      </c>
      <c r="B138" s="4" t="n">
        <v>0</v>
      </c>
      <c r="C138" s="5" t="inlineStr">
        <is>
          <t>Product Schedule: For resilient sheet flooring.</t>
        </is>
      </c>
      <c r="D138" s="4" t="inlineStr">
        <is>
          <t>09 65 16</t>
        </is>
      </c>
      <c r="E138" s="5" t="inlineStr">
        <is>
          <t>Resilient Sheet Flooring</t>
        </is>
      </c>
      <c r="F138" s="4" t="inlineStr">
        <is>
          <t>SCHED</t>
        </is>
      </c>
      <c r="G138" s="4" t="inlineStr">
        <is>
          <t>1.2.D p.176</t>
        </is>
      </c>
      <c r="H138" s="6" t="n"/>
      <c r="I138" s="7" t="inlineStr"/>
      <c r="J138" s="8">
        <f>'Project Rules'!$B$5</f>
        <v/>
      </c>
      <c r="K138" s="8">
        <f>'Project Rules'!$B$6</f>
        <v/>
      </c>
      <c r="L138" s="9">
        <f>IF(OR(H138="",I138=""),"",H138-7*I138)</f>
        <v/>
      </c>
      <c r="M138" s="9">
        <f>IF(OR(H138="",I138=""),"",H138-7*(I138+J138+K138))</f>
        <v/>
      </c>
      <c r="N138" s="6" t="n"/>
      <c r="O138" s="6" t="n"/>
      <c r="P138" s="7" t="inlineStr">
        <is>
          <t>Not Started</t>
        </is>
      </c>
      <c r="Q138" s="10">
        <f>IF(OR(M138="",P138="Approved",P138="Approved as Noted"),"",M138-TODAY())</f>
        <v/>
      </c>
      <c r="R138" s="4" t="inlineStr">
        <is>
          <t>Spec article</t>
        </is>
      </c>
      <c r="S138" s="11" t="inlineStr"/>
      <c r="T138" s="4" t="inlineStr">
        <is>
          <t>Product Schedule: For resilient sheet flooring.</t>
        </is>
      </c>
    </row>
    <row r="139">
      <c r="A139" s="4" t="inlineStr">
        <is>
          <t>096516.06</t>
        </is>
      </c>
      <c r="B139" s="4" t="n">
        <v>0</v>
      </c>
      <c r="C139" s="5" t="inlineStr">
        <is>
          <t>Qualification Data: For Installer.</t>
        </is>
      </c>
      <c r="D139" s="4" t="inlineStr">
        <is>
          <t>09 65 16</t>
        </is>
      </c>
      <c r="E139" s="5" t="inlineStr">
        <is>
          <t>Resilient Sheet Flooring</t>
        </is>
      </c>
      <c r="F139" s="4" t="inlineStr">
        <is>
          <t>CERT</t>
        </is>
      </c>
      <c r="G139" s="4" t="inlineStr">
        <is>
          <t>1.3.A p.176</t>
        </is>
      </c>
      <c r="H139" s="6" t="n"/>
      <c r="I139" s="7" t="inlineStr"/>
      <c r="J139" s="8">
        <f>'Project Rules'!$B$5</f>
        <v/>
      </c>
      <c r="K139" s="8">
        <f>'Project Rules'!$B$6</f>
        <v/>
      </c>
      <c r="L139" s="9">
        <f>IF(OR(H139="",I139=""),"",H139-7*I139)</f>
        <v/>
      </c>
      <c r="M139" s="9">
        <f>IF(OR(H139="",I139=""),"",H139-7*(I139+J139+K139))</f>
        <v/>
      </c>
      <c r="N139" s="6" t="n"/>
      <c r="O139" s="6" t="n"/>
      <c r="P139" s="7" t="inlineStr">
        <is>
          <t>Not Started</t>
        </is>
      </c>
      <c r="Q139" s="10">
        <f>IF(OR(M139="",P139="Approved",P139="Approved as Noted"),"",M139-TODAY())</f>
        <v/>
      </c>
      <c r="R139" s="4" t="inlineStr">
        <is>
          <t>Spec article</t>
        </is>
      </c>
      <c r="S139" s="11" t="inlineStr"/>
      <c r="T139" s="4" t="inlineStr">
        <is>
          <t>Qualification Data: For Installer.</t>
        </is>
      </c>
    </row>
    <row r="140">
      <c r="A140" s="4" t="inlineStr">
        <is>
          <t>096516.07</t>
        </is>
      </c>
      <c r="B140" s="4" t="n">
        <v>0</v>
      </c>
      <c r="C140" s="5" t="inlineStr">
        <is>
          <t>Maintenance Data: For each type of resilient sheet flooring to include in maintenance manuals.</t>
        </is>
      </c>
      <c r="D140" s="4" t="inlineStr">
        <is>
          <t>09 65 16</t>
        </is>
      </c>
      <c r="E140" s="5" t="inlineStr">
        <is>
          <t>Resilient Sheet Flooring</t>
        </is>
      </c>
      <c r="F140" s="4" t="inlineStr">
        <is>
          <t>OM</t>
        </is>
      </c>
      <c r="G140" s="4" t="inlineStr">
        <is>
          <t>1.4.A p.176</t>
        </is>
      </c>
      <c r="H140" s="6" t="n"/>
      <c r="I140" s="7" t="inlineStr"/>
      <c r="J140" s="8">
        <f>'Project Rules'!$B$5</f>
        <v/>
      </c>
      <c r="K140" s="8">
        <f>'Project Rules'!$B$6</f>
        <v/>
      </c>
      <c r="L140" s="9">
        <f>IF(OR(H140="",I140=""),"",H140-7*I140)</f>
        <v/>
      </c>
      <c r="M140" s="9">
        <f>IF(OR(H140="",I140=""),"",H140-7*(I140+J140+K140))</f>
        <v/>
      </c>
      <c r="N140" s="6" t="n"/>
      <c r="O140" s="6" t="n"/>
      <c r="P140" s="7" t="inlineStr">
        <is>
          <t>Not Started</t>
        </is>
      </c>
      <c r="Q140" s="10">
        <f>IF(OR(M140="",P140="Approved",P140="Approved as Noted"),"",M140-TODAY())</f>
        <v/>
      </c>
      <c r="R140" s="4" t="inlineStr">
        <is>
          <t>Spec article</t>
        </is>
      </c>
      <c r="S140" s="11" t="inlineStr"/>
      <c r="T140" s="4" t="inlineStr">
        <is>
          <t>Maintenance Data: For each type of resilient sheet flooring to include in maintenance manuals.</t>
        </is>
      </c>
    </row>
    <row r="141">
      <c r="A141" s="4" t="inlineStr">
        <is>
          <t>096516.08</t>
        </is>
      </c>
      <c r="B141" s="4" t="n">
        <v>0</v>
      </c>
      <c r="C141" s="5" t="inlineStr">
        <is>
          <t>Extra materials: flooring from the same product run</t>
        </is>
      </c>
      <c r="D141" s="4" t="inlineStr">
        <is>
          <t>09 65 16</t>
        </is>
      </c>
      <c r="E141" s="5" t="inlineStr">
        <is>
          <t>Resilient Sheet Flooring</t>
        </is>
      </c>
      <c r="F141" s="4" t="inlineStr">
        <is>
          <t>REPORT</t>
        </is>
      </c>
      <c r="G141" s="4" t="inlineStr">
        <is>
          <t>1.5.A p.176</t>
        </is>
      </c>
      <c r="H141" s="6" t="n"/>
      <c r="I141" s="7" t="inlineStr"/>
      <c r="J141" s="8">
        <f>'Project Rules'!$B$5</f>
        <v/>
      </c>
      <c r="K141" s="8">
        <f>'Project Rules'!$B$6</f>
        <v/>
      </c>
      <c r="L141" s="9">
        <f>IF(OR(H141="",I141=""),"",H141-7*I141)</f>
        <v/>
      </c>
      <c r="M141" s="9">
        <f>IF(OR(H141="",I141=""),"",H141-7*(I141+J141+K141))</f>
        <v/>
      </c>
      <c r="N141" s="6" t="n"/>
      <c r="O141" s="6" t="n"/>
      <c r="P141" s="7" t="inlineStr">
        <is>
          <t>Not Started</t>
        </is>
      </c>
      <c r="Q141" s="10">
        <f>IF(OR(M141="",P141="Approved",P141="Approved as Noted"),"",M141-TODAY())</f>
        <v/>
      </c>
      <c r="R141" s="4" t="inlineStr">
        <is>
          <t>Spec article</t>
        </is>
      </c>
      <c r="S141" s="11" t="inlineStr">
        <is>
          <t>Delivered to Owner, not a review submittal</t>
        </is>
      </c>
      <c r="T141" s="4" t="inlineStr">
        <is>
          <t>Furnish extra materials, from the same product run, that match products installed and that are packaged with protective covering for storage and identified with labels describing contents. 1. Resilient Sheet Flooring: Furnish not less than 10 linear feet (3 linear m) for every 500 linear feet (150 linear m) or fraction thereof, in roll form and in full roll width for each type, color, and pattern of flooring installed.</t>
        </is>
      </c>
    </row>
    <row r="142">
      <c r="A142" s="4" t="inlineStr">
        <is>
          <t>098116.01</t>
        </is>
      </c>
      <c r="B142" s="4" t="n">
        <v>0</v>
      </c>
      <c r="C142" s="5" t="inlineStr">
        <is>
          <t>Product Data: For each type of product indicated.</t>
        </is>
      </c>
      <c r="D142" s="4" t="inlineStr">
        <is>
          <t>09 81 16</t>
        </is>
      </c>
      <c r="E142" s="5" t="inlineStr">
        <is>
          <t>Acoustical Blanket Insulation</t>
        </is>
      </c>
      <c r="F142" s="4" t="inlineStr">
        <is>
          <t>PD</t>
        </is>
      </c>
      <c r="G142" s="4" t="inlineStr">
        <is>
          <t>1.2.A p.180</t>
        </is>
      </c>
      <c r="H142" s="6" t="n"/>
      <c r="I142" s="7" t="inlineStr"/>
      <c r="J142" s="8">
        <f>'Project Rules'!$B$5</f>
        <v/>
      </c>
      <c r="K142" s="8">
        <f>'Project Rules'!$B$6</f>
        <v/>
      </c>
      <c r="L142" s="9">
        <f>IF(OR(H142="",I142=""),"",H142-7*I142)</f>
        <v/>
      </c>
      <c r="M142" s="9">
        <f>IF(OR(H142="",I142=""),"",H142-7*(I142+J142+K142))</f>
        <v/>
      </c>
      <c r="N142" s="6" t="n"/>
      <c r="O142" s="6" t="n"/>
      <c r="P142" s="7" t="inlineStr">
        <is>
          <t>Not Started</t>
        </is>
      </c>
      <c r="Q142" s="10">
        <f>IF(OR(M142="",P142="Approved",P142="Approved as Noted"),"",M142-TODAY())</f>
        <v/>
      </c>
      <c r="R142" s="4" t="inlineStr">
        <is>
          <t>Spec article</t>
        </is>
      </c>
      <c r="S142" s="11" t="inlineStr"/>
      <c r="T142" s="4" t="inlineStr">
        <is>
          <t>Product Data: For each type of product indicated.</t>
        </is>
      </c>
    </row>
    <row r="143">
      <c r="A143" s="4" t="inlineStr">
        <is>
          <t>099123.01</t>
        </is>
      </c>
      <c r="B143" s="4" t="n">
        <v>0</v>
      </c>
      <c r="C143" s="5" t="inlineStr">
        <is>
          <t>Product Data: For each type of product.</t>
        </is>
      </c>
      <c r="D143" s="4" t="inlineStr">
        <is>
          <t>09 91 23</t>
        </is>
      </c>
      <c r="E143" s="5" t="inlineStr">
        <is>
          <t>Interior Painting</t>
        </is>
      </c>
      <c r="F143" s="4" t="inlineStr">
        <is>
          <t>PD</t>
        </is>
      </c>
      <c r="G143" s="4" t="inlineStr">
        <is>
          <t>1.3.A p.182</t>
        </is>
      </c>
      <c r="H143" s="6" t="n"/>
      <c r="I143" s="7" t="inlineStr"/>
      <c r="J143" s="8">
        <f>'Project Rules'!$B$5</f>
        <v/>
      </c>
      <c r="K143" s="8">
        <f>'Project Rules'!$B$6</f>
        <v/>
      </c>
      <c r="L143" s="9">
        <f>IF(OR(H143="",I143=""),"",H143-7*I143)</f>
        <v/>
      </c>
      <c r="M143" s="9">
        <f>IF(OR(H143="",I143=""),"",H143-7*(I143+J143+K143))</f>
        <v/>
      </c>
      <c r="N143" s="6" t="n"/>
      <c r="O143" s="6" t="n"/>
      <c r="P143" s="7" t="inlineStr">
        <is>
          <t>Not Started</t>
        </is>
      </c>
      <c r="Q143" s="10">
        <f>IF(OR(M143="",P143="Approved",P143="Approved as Noted"),"",M143-TODAY())</f>
        <v/>
      </c>
      <c r="R143" s="4" t="inlineStr">
        <is>
          <t>Spec article</t>
        </is>
      </c>
      <c r="S143" s="11" t="inlineStr"/>
      <c r="T143" s="4" t="inlineStr">
        <is>
          <t>Product Data: For each type of product. Include preparation requirements and application instructions. 1. Indicate VOC content.</t>
        </is>
      </c>
    </row>
    <row r="144">
      <c r="A144" s="4" t="inlineStr">
        <is>
          <t>099123.02</t>
        </is>
      </c>
      <c r="B144" s="4" t="n">
        <v>0</v>
      </c>
      <c r="C144" s="5" t="inlineStr">
        <is>
          <t>Samples for Verification: For each type of paint system and in each color and gloss of topcoat.</t>
        </is>
      </c>
      <c r="D144" s="4" t="inlineStr">
        <is>
          <t>09 91 23</t>
        </is>
      </c>
      <c r="E144" s="5" t="inlineStr">
        <is>
          <t>Interior Painting</t>
        </is>
      </c>
      <c r="F144" s="4" t="inlineStr">
        <is>
          <t>SAM</t>
        </is>
      </c>
      <c r="G144" s="4" t="inlineStr">
        <is>
          <t>1.3.B p.182</t>
        </is>
      </c>
      <c r="H144" s="6" t="n"/>
      <c r="I144" s="7" t="inlineStr"/>
      <c r="J144" s="8">
        <f>'Project Rules'!$B$5</f>
        <v/>
      </c>
      <c r="K144" s="8">
        <f>'Project Rules'!$B$6</f>
        <v/>
      </c>
      <c r="L144" s="9">
        <f>IF(OR(H144="",I144=""),"",H144-7*I144)</f>
        <v/>
      </c>
      <c r="M144" s="9">
        <f>IF(OR(H144="",I144=""),"",H144-7*(I144+J144+K144))</f>
        <v/>
      </c>
      <c r="N144" s="6" t="n"/>
      <c r="O144" s="6" t="n"/>
      <c r="P144" s="7" t="inlineStr">
        <is>
          <t>Not Started</t>
        </is>
      </c>
      <c r="Q144" s="10">
        <f>IF(OR(M144="",P144="Approved",P144="Approved as Noted"),"",M144-TODAY())</f>
        <v/>
      </c>
      <c r="R144" s="4" t="inlineStr">
        <is>
          <t>Spec article</t>
        </is>
      </c>
      <c r="S144" s="11" t="inlineStr"/>
      <c r="T144" s="4" t="inlineStr">
        <is>
          <t>Samples for Verification: For each type of paint system and in each color and gloss of topcoat. 1. Submit Samples on rigid backing, 8 inches (200 mm) square. 2. Apply coats on Samples in steps to show each coat required for system. 3. Label each coat of each Sample. 4. Label each Sample for location and application area.</t>
        </is>
      </c>
    </row>
    <row r="145">
      <c r="A145" s="4" t="inlineStr">
        <is>
          <t>099123.03</t>
        </is>
      </c>
      <c r="B145" s="4" t="n">
        <v>0</v>
      </c>
      <c r="C145" s="5" t="inlineStr">
        <is>
          <t>Product List: Cross-reference to paint system and locations of application areas.</t>
        </is>
      </c>
      <c r="D145" s="4" t="inlineStr">
        <is>
          <t>09 91 23</t>
        </is>
      </c>
      <c r="E145" s="5" t="inlineStr">
        <is>
          <t>Interior Painting</t>
        </is>
      </c>
      <c r="F145" s="4" t="inlineStr">
        <is>
          <t>SCHED</t>
        </is>
      </c>
      <c r="G145" s="4" t="inlineStr">
        <is>
          <t>1.3.C p.182</t>
        </is>
      </c>
      <c r="H145" s="6" t="n"/>
      <c r="I145" s="7" t="inlineStr"/>
      <c r="J145" s="8">
        <f>'Project Rules'!$B$5</f>
        <v/>
      </c>
      <c r="K145" s="8">
        <f>'Project Rules'!$B$6</f>
        <v/>
      </c>
      <c r="L145" s="9">
        <f>IF(OR(H145="",I145=""),"",H145-7*I145)</f>
        <v/>
      </c>
      <c r="M145" s="9">
        <f>IF(OR(H145="",I145=""),"",H145-7*(I145+J145+K145))</f>
        <v/>
      </c>
      <c r="N145" s="6" t="n"/>
      <c r="O145" s="6" t="n"/>
      <c r="P145" s="7" t="inlineStr">
        <is>
          <t>Not Started</t>
        </is>
      </c>
      <c r="Q145" s="10">
        <f>IF(OR(M145="",P145="Approved",P145="Approved as Noted"),"",M145-TODAY())</f>
        <v/>
      </c>
      <c r="R145" s="4" t="inlineStr">
        <is>
          <t>Spec article</t>
        </is>
      </c>
      <c r="S145" s="11" t="inlineStr"/>
      <c r="T145" s="4" t="inlineStr">
        <is>
          <t>Product List: Cross-reference to paint system and locations of application areas. Use same designations indicated on Drawings and in schedules. Include color designations.</t>
        </is>
      </c>
    </row>
    <row r="146">
      <c r="A146" s="4" t="inlineStr">
        <is>
          <t>099123.04</t>
        </is>
      </c>
      <c r="B146" s="4" t="n">
        <v>0</v>
      </c>
      <c r="C146" s="5" t="inlineStr">
        <is>
          <t>Extra materials: paint from the same production run</t>
        </is>
      </c>
      <c r="D146" s="4" t="inlineStr">
        <is>
          <t>09 91 23</t>
        </is>
      </c>
      <c r="E146" s="5" t="inlineStr">
        <is>
          <t>Interior Painting</t>
        </is>
      </c>
      <c r="F146" s="4" t="inlineStr">
        <is>
          <t>REPORT</t>
        </is>
      </c>
      <c r="G146" s="4" t="inlineStr">
        <is>
          <t>1.4.A p.182</t>
        </is>
      </c>
      <c r="H146" s="6" t="n"/>
      <c r="I146" s="7" t="inlineStr"/>
      <c r="J146" s="8">
        <f>'Project Rules'!$B$5</f>
        <v/>
      </c>
      <c r="K146" s="8">
        <f>'Project Rules'!$B$6</f>
        <v/>
      </c>
      <c r="L146" s="9">
        <f>IF(OR(H146="",I146=""),"",H146-7*I146)</f>
        <v/>
      </c>
      <c r="M146" s="9">
        <f>IF(OR(H146="",I146=""),"",H146-7*(I146+J146+K146))</f>
        <v/>
      </c>
      <c r="N146" s="6" t="n"/>
      <c r="O146" s="6" t="n"/>
      <c r="P146" s="7" t="inlineStr">
        <is>
          <t>Not Started</t>
        </is>
      </c>
      <c r="Q146" s="10">
        <f>IF(OR(M146="",P146="Approved",P146="Approved as Noted"),"",M146-TODAY())</f>
        <v/>
      </c>
      <c r="R146" s="4" t="inlineStr">
        <is>
          <t>Spec article</t>
        </is>
      </c>
      <c r="S146" s="11" t="inlineStr">
        <is>
          <t>Delivered to Owner, not a review submittal</t>
        </is>
      </c>
      <c r="T146" s="4" t="inlineStr">
        <is>
          <t>Furnish extra materials, from the same product run, that match products installed and that are packaged with protective covering for storage and identified with labels describing contents. 1. Paint: 5 percent, but not less than 1 gal. (3.8 L) of each material and color applied.</t>
        </is>
      </c>
    </row>
    <row r="147">
      <c r="A147" s="4" t="inlineStr">
        <is>
          <t>101400.01</t>
        </is>
      </c>
      <c r="B147" s="4" t="n">
        <v>0</v>
      </c>
      <c r="C147" s="5" t="inlineStr">
        <is>
          <t>Product Data: Include manufacturer's construction details relative to materials, dimensions of individual components, profiles, and finishes for each type of sign...</t>
        </is>
      </c>
      <c r="D147" s="4" t="inlineStr">
        <is>
          <t>10 14 00</t>
        </is>
      </c>
      <c r="E147" s="5" t="inlineStr">
        <is>
          <t>Signage</t>
        </is>
      </c>
      <c r="F147" s="4" t="inlineStr">
        <is>
          <t>PD</t>
        </is>
      </c>
      <c r="G147" s="4" t="inlineStr">
        <is>
          <t>1.2.A p.187</t>
        </is>
      </c>
      <c r="H147" s="6" t="n"/>
      <c r="I147" s="7" t="inlineStr"/>
      <c r="J147" s="8">
        <f>'Project Rules'!$B$5</f>
        <v/>
      </c>
      <c r="K147" s="8">
        <f>'Project Rules'!$B$6</f>
        <v/>
      </c>
      <c r="L147" s="9">
        <f>IF(OR(H147="",I147=""),"",H147-7*I147)</f>
        <v/>
      </c>
      <c r="M147" s="9">
        <f>IF(OR(H147="",I147=""),"",H147-7*(I147+J147+K147))</f>
        <v/>
      </c>
      <c r="N147" s="6" t="n"/>
      <c r="O147" s="6" t="n"/>
      <c r="P147" s="7" t="inlineStr">
        <is>
          <t>Not Started</t>
        </is>
      </c>
      <c r="Q147" s="10">
        <f>IF(OR(M147="",P147="Approved",P147="Approved as Noted"),"",M147-TODAY())</f>
        <v/>
      </c>
      <c r="R147" s="4" t="inlineStr">
        <is>
          <t>Spec article</t>
        </is>
      </c>
      <c r="S147" s="11" t="inlineStr"/>
      <c r="T147" s="4" t="inlineStr">
        <is>
          <t>Product Data: Include manufacturer's construction details relative to materials, dimensions of individual components, profiles, and finishes for each type of sign required.</t>
        </is>
      </c>
    </row>
    <row r="148">
      <c r="A148" s="4" t="inlineStr">
        <is>
          <t>101400.02</t>
        </is>
      </c>
      <c r="B148" s="4" t="n">
        <v>0</v>
      </c>
      <c r="C148" s="5" t="inlineStr">
        <is>
          <t>Shop Drawings: Provide shop drawings for fabrication and erection of signs.</t>
        </is>
      </c>
      <c r="D148" s="4" t="inlineStr">
        <is>
          <t>10 14 00</t>
        </is>
      </c>
      <c r="E148" s="5" t="inlineStr">
        <is>
          <t>Signage</t>
        </is>
      </c>
      <c r="F148" s="4" t="inlineStr">
        <is>
          <t>SD</t>
        </is>
      </c>
      <c r="G148" s="4" t="inlineStr">
        <is>
          <t>1.2.B p.187</t>
        </is>
      </c>
      <c r="H148" s="6" t="n"/>
      <c r="I148" s="7" t="inlineStr"/>
      <c r="J148" s="8">
        <f>'Project Rules'!$B$5</f>
        <v/>
      </c>
      <c r="K148" s="8">
        <f>'Project Rules'!$B$6</f>
        <v/>
      </c>
      <c r="L148" s="9">
        <f>IF(OR(H148="",I148=""),"",H148-7*I148)</f>
        <v/>
      </c>
      <c r="M148" s="9">
        <f>IF(OR(H148="",I148=""),"",H148-7*(I148+J148+K148))</f>
        <v/>
      </c>
      <c r="N148" s="6" t="n"/>
      <c r="O148" s="6" t="n"/>
      <c r="P148" s="7" t="inlineStr">
        <is>
          <t>Not Started</t>
        </is>
      </c>
      <c r="Q148" s="10">
        <f>IF(OR(M148="",P148="Approved",P148="Approved as Noted"),"",M148-TODAY())</f>
        <v/>
      </c>
      <c r="R148" s="4" t="inlineStr">
        <is>
          <t>Spec article</t>
        </is>
      </c>
      <c r="S148" s="11" t="inlineStr"/>
      <c r="T148" s="4" t="inlineStr">
        <is>
          <t>Shop Drawings: Provide shop drawings for fabrication and erection of signs. Include plans, elevations, and large-scale sections of typical members and other components. Show anchors, accessories, layout, and installation details.</t>
        </is>
      </c>
    </row>
    <row r="149">
      <c r="A149" s="4" t="inlineStr">
        <is>
          <t>102600.01</t>
        </is>
      </c>
      <c r="B149" s="4" t="n">
        <v>0</v>
      </c>
      <c r="C149" s="5" t="inlineStr">
        <is>
          <t>Include construction details, material descriptions, impact strength, dimensions of individual components and profiles, and finishes.</t>
        </is>
      </c>
      <c r="D149" s="4" t="inlineStr">
        <is>
          <t>10 26 00</t>
        </is>
      </c>
      <c r="E149" s="5" t="inlineStr">
        <is>
          <t>Wall And Door Protection</t>
        </is>
      </c>
      <c r="F149" s="4" t="inlineStr">
        <is>
          <t>PD</t>
        </is>
      </c>
      <c r="G149" s="4" t="inlineStr">
        <is>
          <t>1.2.A.1 p.189</t>
        </is>
      </c>
      <c r="H149" s="6" t="n"/>
      <c r="I149" s="7" t="inlineStr"/>
      <c r="J149" s="8">
        <f>'Project Rules'!$B$5</f>
        <v/>
      </c>
      <c r="K149" s="8">
        <f>'Project Rules'!$B$6</f>
        <v/>
      </c>
      <c r="L149" s="9">
        <f>IF(OR(H149="",I149=""),"",H149-7*I149)</f>
        <v/>
      </c>
      <c r="M149" s="9">
        <f>IF(OR(H149="",I149=""),"",H149-7*(I149+J149+K149))</f>
        <v/>
      </c>
      <c r="N149" s="6" t="n"/>
      <c r="O149" s="6" t="n"/>
      <c r="P149" s="7" t="inlineStr">
        <is>
          <t>Not Started</t>
        </is>
      </c>
      <c r="Q149" s="10">
        <f>IF(OR(M149="",P149="Approved",P149="Approved as Noted"),"",M149-TODAY())</f>
        <v/>
      </c>
      <c r="R149" s="4" t="inlineStr">
        <is>
          <t>Spec article</t>
        </is>
      </c>
      <c r="S149" s="11" t="inlineStr"/>
      <c r="T149" s="4" t="inlineStr">
        <is>
          <t>Include construction details, material descriptions, impact strength, dimensions of individual components and profiles, and finishes.</t>
        </is>
      </c>
    </row>
    <row r="150">
      <c r="A150" s="4" t="inlineStr">
        <is>
          <t>102600.02</t>
        </is>
      </c>
      <c r="B150" s="4" t="n">
        <v>0</v>
      </c>
      <c r="C150" s="5" t="inlineStr">
        <is>
          <t>Shop Drawings: For each type of wall and door protection showing locations and extent.</t>
        </is>
      </c>
      <c r="D150" s="4" t="inlineStr">
        <is>
          <t>10 26 00</t>
        </is>
      </c>
      <c r="E150" s="5" t="inlineStr">
        <is>
          <t>Wall And Door Protection</t>
        </is>
      </c>
      <c r="F150" s="4" t="inlineStr">
        <is>
          <t>SD</t>
        </is>
      </c>
      <c r="G150" s="4" t="inlineStr">
        <is>
          <t>1.2.B p.189</t>
        </is>
      </c>
      <c r="H150" s="6" t="n"/>
      <c r="I150" s="7" t="inlineStr"/>
      <c r="J150" s="8">
        <f>'Project Rules'!$B$5</f>
        <v/>
      </c>
      <c r="K150" s="8">
        <f>'Project Rules'!$B$6</f>
        <v/>
      </c>
      <c r="L150" s="9">
        <f>IF(OR(H150="",I150=""),"",H150-7*I150)</f>
        <v/>
      </c>
      <c r="M150" s="9">
        <f>IF(OR(H150="",I150=""),"",H150-7*(I150+J150+K150))</f>
        <v/>
      </c>
      <c r="N150" s="6" t="n"/>
      <c r="O150" s="6" t="n"/>
      <c r="P150" s="7" t="inlineStr">
        <is>
          <t>Not Started</t>
        </is>
      </c>
      <c r="Q150" s="10">
        <f>IF(OR(M150="",P150="Approved",P150="Approved as Noted"),"",M150-TODAY())</f>
        <v/>
      </c>
      <c r="R150" s="4" t="inlineStr">
        <is>
          <t>Spec article</t>
        </is>
      </c>
      <c r="S150" s="11" t="inlineStr"/>
      <c r="T150" s="4" t="inlineStr">
        <is>
          <t>Shop Drawings: For each type of wall and door protection showing locations and extent. 1. Include plans, elevations, sections, and attachment details.</t>
        </is>
      </c>
    </row>
    <row r="151">
      <c r="A151" s="4" t="inlineStr">
        <is>
          <t>102600.03</t>
        </is>
      </c>
      <c r="B151" s="4" t="n">
        <v>0</v>
      </c>
      <c r="C151" s="5" t="inlineStr">
        <is>
          <t>Samples for Verification: For each type of exposed finish on the following products, prepared on Samples of size indicated below: 1.</t>
        </is>
      </c>
      <c r="D151" s="4" t="inlineStr">
        <is>
          <t>10 26 00</t>
        </is>
      </c>
      <c r="E151" s="5" t="inlineStr">
        <is>
          <t>Wall And Door Protection</t>
        </is>
      </c>
      <c r="F151" s="4" t="inlineStr">
        <is>
          <t>SAM</t>
        </is>
      </c>
      <c r="G151" s="4" t="inlineStr">
        <is>
          <t>1.2.C p.189</t>
        </is>
      </c>
      <c r="H151" s="6" t="n"/>
      <c r="I151" s="7" t="inlineStr"/>
      <c r="J151" s="8">
        <f>'Project Rules'!$B$5</f>
        <v/>
      </c>
      <c r="K151" s="8">
        <f>'Project Rules'!$B$6</f>
        <v/>
      </c>
      <c r="L151" s="9">
        <f>IF(OR(H151="",I151=""),"",H151-7*I151)</f>
        <v/>
      </c>
      <c r="M151" s="9">
        <f>IF(OR(H151="",I151=""),"",H151-7*(I151+J151+K151))</f>
        <v/>
      </c>
      <c r="N151" s="6" t="n"/>
      <c r="O151" s="6" t="n"/>
      <c r="P151" s="7" t="inlineStr">
        <is>
          <t>Not Started</t>
        </is>
      </c>
      <c r="Q151" s="10">
        <f>IF(OR(M151="",P151="Approved",P151="Approved as Noted"),"",M151-TODAY())</f>
        <v/>
      </c>
      <c r="R151" s="4" t="inlineStr">
        <is>
          <t>Spec article</t>
        </is>
      </c>
      <c r="S151" s="11" t="inlineStr"/>
      <c r="T151" s="4" t="inlineStr">
        <is>
          <t>Samples for Verification: For each type of exposed finish on the following products, prepared on Samples of size indicated below: 1. Wall Guards: 12 inches (300 mm) long. Include examples of joinery, corners, end caps, and field splices. 2. Corner Guards: 12 inches (300 mm) long. Include example top caps.</t>
        </is>
      </c>
    </row>
    <row r="152">
      <c r="A152" s="4" t="inlineStr">
        <is>
          <t>102600.04</t>
        </is>
      </c>
      <c r="B152" s="4" t="n">
        <v>0</v>
      </c>
      <c r="C152" s="5" t="inlineStr">
        <is>
          <t>Material Certificates: For each type of exposed plastic material.</t>
        </is>
      </c>
      <c r="D152" s="4" t="inlineStr">
        <is>
          <t>10 26 00</t>
        </is>
      </c>
      <c r="E152" s="5" t="inlineStr">
        <is>
          <t>Wall And Door Protection</t>
        </is>
      </c>
      <c r="F152" s="4" t="inlineStr">
        <is>
          <t>CERT</t>
        </is>
      </c>
      <c r="G152" s="4" t="inlineStr">
        <is>
          <t>1.3.A p.189</t>
        </is>
      </c>
      <c r="H152" s="6" t="n"/>
      <c r="I152" s="7" t="inlineStr"/>
      <c r="J152" s="8">
        <f>'Project Rules'!$B$5</f>
        <v/>
      </c>
      <c r="K152" s="8">
        <f>'Project Rules'!$B$6</f>
        <v/>
      </c>
      <c r="L152" s="9">
        <f>IF(OR(H152="",I152=""),"",H152-7*I152)</f>
        <v/>
      </c>
      <c r="M152" s="9">
        <f>IF(OR(H152="",I152=""),"",H152-7*(I152+J152+K152))</f>
        <v/>
      </c>
      <c r="N152" s="6" t="n"/>
      <c r="O152" s="6" t="n"/>
      <c r="P152" s="7" t="inlineStr">
        <is>
          <t>Not Started</t>
        </is>
      </c>
      <c r="Q152" s="10">
        <f>IF(OR(M152="",P152="Approved",P152="Approved as Noted"),"",M152-TODAY())</f>
        <v/>
      </c>
      <c r="R152" s="4" t="inlineStr">
        <is>
          <t>Spec article</t>
        </is>
      </c>
      <c r="S152" s="11" t="inlineStr"/>
      <c r="T152" s="4" t="inlineStr">
        <is>
          <t>Material Certificates: For each type of exposed plastic material.</t>
        </is>
      </c>
    </row>
    <row r="153">
      <c r="A153" s="4" t="inlineStr">
        <is>
          <t>102600.05</t>
        </is>
      </c>
      <c r="B153" s="4" t="n">
        <v>0</v>
      </c>
      <c r="C153" s="5" t="inlineStr">
        <is>
          <t>Maintenance Data: For each type of wall and door protection product to include in maintenance manuals.</t>
        </is>
      </c>
      <c r="D153" s="4" t="inlineStr">
        <is>
          <t>10 26 00</t>
        </is>
      </c>
      <c r="E153" s="5" t="inlineStr">
        <is>
          <t>Wall And Door Protection</t>
        </is>
      </c>
      <c r="F153" s="4" t="inlineStr">
        <is>
          <t>OM</t>
        </is>
      </c>
      <c r="G153" s="4" t="inlineStr">
        <is>
          <t>1.4.A p.189</t>
        </is>
      </c>
      <c r="H153" s="6" t="n"/>
      <c r="I153" s="7" t="inlineStr"/>
      <c r="J153" s="8">
        <f>'Project Rules'!$B$5</f>
        <v/>
      </c>
      <c r="K153" s="8">
        <f>'Project Rules'!$B$6</f>
        <v/>
      </c>
      <c r="L153" s="9">
        <f>IF(OR(H153="",I153=""),"",H153-7*I153)</f>
        <v/>
      </c>
      <c r="M153" s="9">
        <f>IF(OR(H153="",I153=""),"",H153-7*(I153+J153+K153))</f>
        <v/>
      </c>
      <c r="N153" s="6" t="n"/>
      <c r="O153" s="6" t="n"/>
      <c r="P153" s="7" t="inlineStr">
        <is>
          <t>Not Started</t>
        </is>
      </c>
      <c r="Q153" s="10">
        <f>IF(OR(M153="",P153="Approved",P153="Approved as Noted"),"",M153-TODAY())</f>
        <v/>
      </c>
      <c r="R153" s="4" t="inlineStr">
        <is>
          <t>Spec article</t>
        </is>
      </c>
      <c r="S153" s="11" t="inlineStr"/>
      <c r="T153" s="4" t="inlineStr">
        <is>
          <t>Maintenance Data: For each type of wall and door protection product to include in maintenance manuals. 1. Include recommended methods and frequency of maintenance for maintaining best condition of plastic covers under anticipated traffic and use conditions. Include precautions against using cleaning materials and methods that may be detrimental to finishes and performance.</t>
        </is>
      </c>
    </row>
    <row r="154">
      <c r="A154" s="4" t="inlineStr">
        <is>
          <t>102600.06</t>
        </is>
      </c>
      <c r="B154" s="4" t="n">
        <v>0</v>
      </c>
      <c r="C154" s="5" t="inlineStr">
        <is>
          <t>Extra materials from the same product run</t>
        </is>
      </c>
      <c r="D154" s="4" t="inlineStr">
        <is>
          <t>10 26 00</t>
        </is>
      </c>
      <c r="E154" s="5" t="inlineStr">
        <is>
          <t>Wall And Door Protection</t>
        </is>
      </c>
      <c r="F154" s="4" t="inlineStr">
        <is>
          <t>REPORT</t>
        </is>
      </c>
      <c r="G154" s="4" t="inlineStr">
        <is>
          <t>1.5.A p.189</t>
        </is>
      </c>
      <c r="H154" s="6" t="n"/>
      <c r="I154" s="7" t="inlineStr"/>
      <c r="J154" s="8">
        <f>'Project Rules'!$B$5</f>
        <v/>
      </c>
      <c r="K154" s="8">
        <f>'Project Rules'!$B$6</f>
        <v/>
      </c>
      <c r="L154" s="9">
        <f>IF(OR(H154="",I154=""),"",H154-7*I154)</f>
        <v/>
      </c>
      <c r="M154" s="9">
        <f>IF(OR(H154="",I154=""),"",H154-7*(I154+J154+K154))</f>
        <v/>
      </c>
      <c r="N154" s="6" t="n"/>
      <c r="O154" s="6" t="n"/>
      <c r="P154" s="7" t="inlineStr">
        <is>
          <t>Not Started</t>
        </is>
      </c>
      <c r="Q154" s="10">
        <f>IF(OR(M154="",P154="Approved",P154="Approved as Noted"),"",M154-TODAY())</f>
        <v/>
      </c>
      <c r="R154" s="4" t="inlineStr">
        <is>
          <t>Spec article</t>
        </is>
      </c>
      <c r="S154" s="11" t="inlineStr">
        <is>
          <t>Delivered to Owner, not a review submittal</t>
        </is>
      </c>
      <c r="T154" s="4" t="inlineStr">
        <is>
          <t>Furnish extra materials, from the same product run, that match products installed and that are packaged with protective covering for storage and identified with labels describing contents. 1. Wall-Guard Covers: Full-size plastic covers of maximum length equal to 2 percent of each type, color, and texture of cover installed, but no fewer than two, 96-inch- (2400-mm-) long units. 2. Corner-Guard Covers: Full-size plastic covers of maximum length equal to 2 percent of each type, color, and texture of cover installed, but no fewer than two, 48-inch- (1200-mm-) long units. 3. Mounting and Accessory Components: Amounts proportional to the quantities of extra materials. Package mounting and accessory components with each extra material.</t>
        </is>
      </c>
    </row>
    <row r="155">
      <c r="A155" s="4" t="inlineStr">
        <is>
          <t>102800.01</t>
        </is>
      </c>
      <c r="B155" s="4" t="n">
        <v>0</v>
      </c>
      <c r="C155" s="5" t="inlineStr">
        <is>
          <t>Include construction details, material descriptions, dimensions of individual components and profiles, and finishes.</t>
        </is>
      </c>
      <c r="D155" s="4" t="inlineStr">
        <is>
          <t>10 28 00</t>
        </is>
      </c>
      <c r="E155" s="5" t="inlineStr">
        <is>
          <t>Toilet, Bath, And Laundry Accessories</t>
        </is>
      </c>
      <c r="F155" s="4" t="inlineStr">
        <is>
          <t>PD</t>
        </is>
      </c>
      <c r="G155" s="4" t="inlineStr">
        <is>
          <t>1.3.A.1 p.193</t>
        </is>
      </c>
      <c r="H155" s="6" t="n"/>
      <c r="I155" s="7" t="inlineStr"/>
      <c r="J155" s="8">
        <f>'Project Rules'!$B$5</f>
        <v/>
      </c>
      <c r="K155" s="8">
        <f>'Project Rules'!$B$6</f>
        <v/>
      </c>
      <c r="L155" s="9">
        <f>IF(OR(H155="",I155=""),"",H155-7*I155)</f>
        <v/>
      </c>
      <c r="M155" s="9">
        <f>IF(OR(H155="",I155=""),"",H155-7*(I155+J155+K155))</f>
        <v/>
      </c>
      <c r="N155" s="6" t="n"/>
      <c r="O155" s="6" t="n"/>
      <c r="P155" s="7" t="inlineStr">
        <is>
          <t>Not Started</t>
        </is>
      </c>
      <c r="Q155" s="10">
        <f>IF(OR(M155="",P155="Approved",P155="Approved as Noted"),"",M155-TODAY())</f>
        <v/>
      </c>
      <c r="R155" s="4" t="inlineStr">
        <is>
          <t>Spec article</t>
        </is>
      </c>
      <c r="S155" s="11" t="inlineStr"/>
      <c r="T155" s="4" t="inlineStr">
        <is>
          <t>Include construction details, material descriptions, dimensions of individual components and profiles, and finishes.</t>
        </is>
      </c>
    </row>
    <row r="156">
      <c r="A156" s="4" t="inlineStr">
        <is>
          <t>102800.02</t>
        </is>
      </c>
      <c r="B156" s="4" t="n">
        <v>0</v>
      </c>
      <c r="C156" s="5" t="inlineStr">
        <is>
          <t>Include anchoring and mounting requirements, including requirements for cutouts in other work and substrate preparation.</t>
        </is>
      </c>
      <c r="D156" s="4" t="inlineStr">
        <is>
          <t>10 28 00</t>
        </is>
      </c>
      <c r="E156" s="5" t="inlineStr">
        <is>
          <t>Toilet, Bath, And Laundry Accessories</t>
        </is>
      </c>
      <c r="F156" s="4" t="inlineStr">
        <is>
          <t>PD</t>
        </is>
      </c>
      <c r="G156" s="4" t="inlineStr">
        <is>
          <t>1.3.A.2 p.193</t>
        </is>
      </c>
      <c r="H156" s="6" t="n"/>
      <c r="I156" s="7" t="inlineStr"/>
      <c r="J156" s="8">
        <f>'Project Rules'!$B$5</f>
        <v/>
      </c>
      <c r="K156" s="8">
        <f>'Project Rules'!$B$6</f>
        <v/>
      </c>
      <c r="L156" s="9">
        <f>IF(OR(H156="",I156=""),"",H156-7*I156)</f>
        <v/>
      </c>
      <c r="M156" s="9">
        <f>IF(OR(H156="",I156=""),"",H156-7*(I156+J156+K156))</f>
        <v/>
      </c>
      <c r="N156" s="6" t="n"/>
      <c r="O156" s="6" t="n"/>
      <c r="P156" s="7" t="inlineStr">
        <is>
          <t>Not Started</t>
        </is>
      </c>
      <c r="Q156" s="10">
        <f>IF(OR(M156="",P156="Approved",P156="Approved as Noted"),"",M156-TODAY())</f>
        <v/>
      </c>
      <c r="R156" s="4" t="inlineStr">
        <is>
          <t>Spec article</t>
        </is>
      </c>
      <c r="S156" s="11" t="inlineStr"/>
      <c r="T156" s="4" t="inlineStr">
        <is>
          <t>Include anchoring and mounting requirements, including requirements for cutouts in other work and substrate preparation.</t>
        </is>
      </c>
    </row>
    <row r="157">
      <c r="A157" s="4" t="inlineStr">
        <is>
          <t>102800.03</t>
        </is>
      </c>
      <c r="B157" s="4" t="n">
        <v>0</v>
      </c>
      <c r="C157" s="5" t="inlineStr">
        <is>
          <t>Product Schedule: Indicating types, quantities, sizes, and installation locations by room of each accessory required.</t>
        </is>
      </c>
      <c r="D157" s="4" t="inlineStr">
        <is>
          <t>10 28 00</t>
        </is>
      </c>
      <c r="E157" s="5" t="inlineStr">
        <is>
          <t>Toilet, Bath, And Laundry Accessories</t>
        </is>
      </c>
      <c r="F157" s="4" t="inlineStr">
        <is>
          <t>SCHED</t>
        </is>
      </c>
      <c r="G157" s="4" t="inlineStr">
        <is>
          <t>1.3.B p.193</t>
        </is>
      </c>
      <c r="H157" s="6" t="n"/>
      <c r="I157" s="7" t="inlineStr"/>
      <c r="J157" s="8">
        <f>'Project Rules'!$B$5</f>
        <v/>
      </c>
      <c r="K157" s="8">
        <f>'Project Rules'!$B$6</f>
        <v/>
      </c>
      <c r="L157" s="9">
        <f>IF(OR(H157="",I157=""),"",H157-7*I157)</f>
        <v/>
      </c>
      <c r="M157" s="9">
        <f>IF(OR(H157="",I157=""),"",H157-7*(I157+J157+K157))</f>
        <v/>
      </c>
      <c r="N157" s="6" t="n"/>
      <c r="O157" s="6" t="n"/>
      <c r="P157" s="7" t="inlineStr">
        <is>
          <t>Not Started</t>
        </is>
      </c>
      <c r="Q157" s="10">
        <f>IF(OR(M157="",P157="Approved",P157="Approved as Noted"),"",M157-TODAY())</f>
        <v/>
      </c>
      <c r="R157" s="4" t="inlineStr">
        <is>
          <t>Spec article</t>
        </is>
      </c>
      <c r="S157" s="11" t="inlineStr"/>
      <c r="T157" s="4" t="inlineStr">
        <is>
          <t>Product Schedule: Indicating types, quantities, sizes, and installation locations by room of each accessory required. 1. Identify locations using room designations indicated. 2. Identify accessories using designations indicated.</t>
        </is>
      </c>
    </row>
    <row r="158">
      <c r="A158" s="4" t="inlineStr">
        <is>
          <t>102800.04</t>
        </is>
      </c>
      <c r="B158" s="4" t="n">
        <v>0</v>
      </c>
      <c r="C158" s="5" t="inlineStr">
        <is>
          <t>Sample Warranty: For manufacturer's special warranty.</t>
        </is>
      </c>
      <c r="D158" s="4" t="inlineStr">
        <is>
          <t>10 28 00</t>
        </is>
      </c>
      <c r="E158" s="5" t="inlineStr">
        <is>
          <t>Toilet, Bath, And Laundry Accessories</t>
        </is>
      </c>
      <c r="F158" s="4" t="inlineStr">
        <is>
          <t>SAM+WARR</t>
        </is>
      </c>
      <c r="G158" s="4" t="inlineStr">
        <is>
          <t>1.4.A p.193</t>
        </is>
      </c>
      <c r="H158" s="6" t="n"/>
      <c r="I158" s="7" t="inlineStr"/>
      <c r="J158" s="8">
        <f>'Project Rules'!$B$5</f>
        <v/>
      </c>
      <c r="K158" s="8">
        <f>'Project Rules'!$B$6</f>
        <v/>
      </c>
      <c r="L158" s="9">
        <f>IF(OR(H158="",I158=""),"",H158-7*I158)</f>
        <v/>
      </c>
      <c r="M158" s="9">
        <f>IF(OR(H158="",I158=""),"",H158-7*(I158+J158+K158))</f>
        <v/>
      </c>
      <c r="N158" s="6" t="n"/>
      <c r="O158" s="6" t="n"/>
      <c r="P158" s="7" t="inlineStr">
        <is>
          <t>Not Started</t>
        </is>
      </c>
      <c r="Q158" s="10">
        <f>IF(OR(M158="",P158="Approved",P158="Approved as Noted"),"",M158-TODAY())</f>
        <v/>
      </c>
      <c r="R158" s="4" t="inlineStr">
        <is>
          <t>Spec article</t>
        </is>
      </c>
      <c r="S158" s="11" t="inlineStr"/>
      <c r="T158" s="4" t="inlineStr">
        <is>
          <t>Sample Warranty: For manufacturer's special warranty.</t>
        </is>
      </c>
    </row>
    <row r="159">
      <c r="A159" s="4" t="inlineStr">
        <is>
          <t>102800.05</t>
        </is>
      </c>
      <c r="B159" s="4" t="n">
        <v>0</v>
      </c>
      <c r="C159" s="5" t="inlineStr">
        <is>
          <t>Maintenance Data: For accessories to include in maintenance manuals.</t>
        </is>
      </c>
      <c r="D159" s="4" t="inlineStr">
        <is>
          <t>10 28 00</t>
        </is>
      </c>
      <c r="E159" s="5" t="inlineStr">
        <is>
          <t>Toilet, Bath, And Laundry Accessories</t>
        </is>
      </c>
      <c r="F159" s="4" t="inlineStr">
        <is>
          <t>OM</t>
        </is>
      </c>
      <c r="G159" s="4" t="inlineStr">
        <is>
          <t>1.5.A p.193</t>
        </is>
      </c>
      <c r="H159" s="6" t="n"/>
      <c r="I159" s="7" t="inlineStr"/>
      <c r="J159" s="8">
        <f>'Project Rules'!$B$5</f>
        <v/>
      </c>
      <c r="K159" s="8">
        <f>'Project Rules'!$B$6</f>
        <v/>
      </c>
      <c r="L159" s="9">
        <f>IF(OR(H159="",I159=""),"",H159-7*I159)</f>
        <v/>
      </c>
      <c r="M159" s="9">
        <f>IF(OR(H159="",I159=""),"",H159-7*(I159+J159+K159))</f>
        <v/>
      </c>
      <c r="N159" s="6" t="n"/>
      <c r="O159" s="6" t="n"/>
      <c r="P159" s="7" t="inlineStr">
        <is>
          <t>Not Started</t>
        </is>
      </c>
      <c r="Q159" s="10">
        <f>IF(OR(M159="",P159="Approved",P159="Approved as Noted"),"",M159-TODAY())</f>
        <v/>
      </c>
      <c r="R159" s="4" t="inlineStr">
        <is>
          <t>Spec article</t>
        </is>
      </c>
      <c r="S159" s="11" t="inlineStr"/>
      <c r="T159" s="4" t="inlineStr">
        <is>
          <t>Maintenance Data: For accessories to include in maintenance manuals.</t>
        </is>
      </c>
    </row>
    <row r="160">
      <c r="A160" s="4" t="inlineStr">
        <is>
          <t>123661.16.01</t>
        </is>
      </c>
      <c r="B160" s="4" t="n">
        <v>0</v>
      </c>
      <c r="C160" s="5" t="inlineStr">
        <is>
          <t>Product Data: For countertop materials.</t>
        </is>
      </c>
      <c r="D160" s="4" t="inlineStr">
        <is>
          <t>12 36 61.16</t>
        </is>
      </c>
      <c r="E160" s="5" t="inlineStr">
        <is>
          <t>Solid Surfacing Countertops</t>
        </is>
      </c>
      <c r="F160" s="4" t="inlineStr">
        <is>
          <t>PD</t>
        </is>
      </c>
      <c r="G160" s="4" t="inlineStr">
        <is>
          <t>1.2.A p.195</t>
        </is>
      </c>
      <c r="H160" s="6" t="n"/>
      <c r="I160" s="7" t="inlineStr"/>
      <c r="J160" s="8">
        <f>'Project Rules'!$B$5</f>
        <v/>
      </c>
      <c r="K160" s="8">
        <f>'Project Rules'!$B$6</f>
        <v/>
      </c>
      <c r="L160" s="9">
        <f>IF(OR(H160="",I160=""),"",H160-7*I160)</f>
        <v/>
      </c>
      <c r="M160" s="9">
        <f>IF(OR(H160="",I160=""),"",H160-7*(I160+J160+K160))</f>
        <v/>
      </c>
      <c r="N160" s="6" t="n"/>
      <c r="O160" s="6" t="n"/>
      <c r="P160" s="7" t="inlineStr">
        <is>
          <t>Not Started</t>
        </is>
      </c>
      <c r="Q160" s="10">
        <f>IF(OR(M160="",P160="Approved",P160="Approved as Noted"),"",M160-TODAY())</f>
        <v/>
      </c>
      <c r="R160" s="4" t="inlineStr">
        <is>
          <t>Spec article</t>
        </is>
      </c>
      <c r="S160" s="11" t="inlineStr"/>
      <c r="T160" s="4" t="inlineStr">
        <is>
          <t>Product Data: For countertop materials.</t>
        </is>
      </c>
    </row>
    <row r="161">
      <c r="A161" s="4" t="inlineStr">
        <is>
          <t>123661.16.02</t>
        </is>
      </c>
      <c r="B161" s="4" t="n">
        <v>0</v>
      </c>
      <c r="C161" s="5" t="inlineStr">
        <is>
          <t>Shop Drawings: For countertops.</t>
        </is>
      </c>
      <c r="D161" s="4" t="inlineStr">
        <is>
          <t>12 36 61.16</t>
        </is>
      </c>
      <c r="E161" s="5" t="inlineStr">
        <is>
          <t>Solid Surfacing Countertops</t>
        </is>
      </c>
      <c r="F161" s="4" t="inlineStr">
        <is>
          <t>SD</t>
        </is>
      </c>
      <c r="G161" s="4" t="inlineStr">
        <is>
          <t>1.2.B p.195</t>
        </is>
      </c>
      <c r="H161" s="6" t="n"/>
      <c r="I161" s="7" t="inlineStr"/>
      <c r="J161" s="8">
        <f>'Project Rules'!$B$5</f>
        <v/>
      </c>
      <c r="K161" s="8">
        <f>'Project Rules'!$B$6</f>
        <v/>
      </c>
      <c r="L161" s="9">
        <f>IF(OR(H161="",I161=""),"",H161-7*I161)</f>
        <v/>
      </c>
      <c r="M161" s="9">
        <f>IF(OR(H161="",I161=""),"",H161-7*(I161+J161+K161))</f>
        <v/>
      </c>
      <c r="N161" s="6" t="n"/>
      <c r="O161" s="6" t="n"/>
      <c r="P161" s="7" t="inlineStr">
        <is>
          <t>Not Started</t>
        </is>
      </c>
      <c r="Q161" s="10">
        <f>IF(OR(M161="",P161="Approved",P161="Approved as Noted"),"",M161-TODAY())</f>
        <v/>
      </c>
      <c r="R161" s="4" t="inlineStr">
        <is>
          <t>Spec article</t>
        </is>
      </c>
      <c r="S161" s="11" t="inlineStr"/>
      <c r="T161" s="4" t="inlineStr">
        <is>
          <t>Shop Drawings: For countertops. Show materials, finishes, edge and backsplash profiles, methods of joining, and cutouts for plumbing fixtures. 1. Show locations and details of joints. 2. Show direction of directional pattern, if any.</t>
        </is>
      </c>
    </row>
    <row r="162">
      <c r="A162" s="4" t="inlineStr">
        <is>
          <t>123661.16.03</t>
        </is>
      </c>
      <c r="B162" s="4" t="n">
        <v>0</v>
      </c>
      <c r="C162" s="5" t="inlineStr">
        <is>
          <t>Countertop material, 6 inches (150 mm) square.</t>
        </is>
      </c>
      <c r="D162" s="4" t="inlineStr">
        <is>
          <t>12 36 61.16</t>
        </is>
      </c>
      <c r="E162" s="5" t="inlineStr">
        <is>
          <t>Solid Surfacing Countertops</t>
        </is>
      </c>
      <c r="F162" s="4" t="inlineStr">
        <is>
          <t>SAM</t>
        </is>
      </c>
      <c r="G162" s="4" t="inlineStr">
        <is>
          <t>1.2.C.1 p.195</t>
        </is>
      </c>
      <c r="H162" s="6" t="n"/>
      <c r="I162" s="7" t="inlineStr"/>
      <c r="J162" s="8">
        <f>'Project Rules'!$B$5</f>
        <v/>
      </c>
      <c r="K162" s="8">
        <f>'Project Rules'!$B$6</f>
        <v/>
      </c>
      <c r="L162" s="9">
        <f>IF(OR(H162="",I162=""),"",H162-7*I162)</f>
        <v/>
      </c>
      <c r="M162" s="9">
        <f>IF(OR(H162="",I162=""),"",H162-7*(I162+J162+K162))</f>
        <v/>
      </c>
      <c r="N162" s="6" t="n"/>
      <c r="O162" s="6" t="n"/>
      <c r="P162" s="7" t="inlineStr">
        <is>
          <t>Not Started</t>
        </is>
      </c>
      <c r="Q162" s="10">
        <f>IF(OR(M162="",P162="Approved",P162="Approved as Noted"),"",M162-TODAY())</f>
        <v/>
      </c>
      <c r="R162" s="4" t="inlineStr">
        <is>
          <t>Spec article</t>
        </is>
      </c>
      <c r="S162" s="11" t="inlineStr"/>
      <c r="T162" s="4" t="inlineStr">
        <is>
          <t>Countertop material, 6 inches (150 mm) square.</t>
        </is>
      </c>
    </row>
    <row r="163">
      <c r="A163" s="4" t="inlineStr">
        <is>
          <t>123661.16.04</t>
        </is>
      </c>
      <c r="B163" s="4" t="n">
        <v>0</v>
      </c>
      <c r="C163" s="5" t="inlineStr">
        <is>
          <t>Maintenance Data: For solid surface material countertops to include in maintenance manuals.</t>
        </is>
      </c>
      <c r="D163" s="4" t="inlineStr">
        <is>
          <t>12 36 61.16</t>
        </is>
      </c>
      <c r="E163" s="5" t="inlineStr">
        <is>
          <t>Solid Surfacing Countertops</t>
        </is>
      </c>
      <c r="F163" s="4" t="inlineStr">
        <is>
          <t>OM+PD</t>
        </is>
      </c>
      <c r="G163" s="4" t="inlineStr">
        <is>
          <t>1.3.A p.195</t>
        </is>
      </c>
      <c r="H163" s="6" t="n"/>
      <c r="I163" s="7" t="inlineStr"/>
      <c r="J163" s="8">
        <f>'Project Rules'!$B$5</f>
        <v/>
      </c>
      <c r="K163" s="8">
        <f>'Project Rules'!$B$6</f>
        <v/>
      </c>
      <c r="L163" s="9">
        <f>IF(OR(H163="",I163=""),"",H163-7*I163)</f>
        <v/>
      </c>
      <c r="M163" s="9">
        <f>IF(OR(H163="",I163=""),"",H163-7*(I163+J163+K163))</f>
        <v/>
      </c>
      <c r="N163" s="6" t="n"/>
      <c r="O163" s="6" t="n"/>
      <c r="P163" s="7" t="inlineStr">
        <is>
          <t>Not Started</t>
        </is>
      </c>
      <c r="Q163" s="10">
        <f>IF(OR(M163="",P163="Approved",P163="Approved as Noted"),"",M163-TODAY())</f>
        <v/>
      </c>
      <c r="R163" s="4" t="inlineStr">
        <is>
          <t>Spec article</t>
        </is>
      </c>
      <c r="S163" s="11" t="inlineStr"/>
      <c r="T163" s="4" t="inlineStr">
        <is>
          <t>Maintenance Data: For solid surface material countertops to include in maintenance manuals. Include Product Data for care products used or recommended by Installer and names, addresses, and telephone numbers of local sources for products.</t>
        </is>
      </c>
    </row>
    <row r="164">
      <c r="A164" s="4" t="inlineStr">
        <is>
          <t>134900.01</t>
        </is>
      </c>
      <c r="B164" s="4" t="n">
        <v>0</v>
      </c>
      <c r="C164" s="5" t="inlineStr">
        <is>
          <t>Product Data: For each type of product.</t>
        </is>
      </c>
      <c r="D164" s="4" t="inlineStr">
        <is>
          <t>13 49 00</t>
        </is>
      </c>
      <c r="E164" s="5" t="inlineStr">
        <is>
          <t>Radiation Protection</t>
        </is>
      </c>
      <c r="F164" s="4" t="inlineStr">
        <is>
          <t>PD</t>
        </is>
      </c>
      <c r="G164" s="4" t="inlineStr">
        <is>
          <t>1.4.A p.198</t>
        </is>
      </c>
      <c r="H164" s="6" t="n"/>
      <c r="I164" s="7" t="inlineStr"/>
      <c r="J164" s="8">
        <f>'Project Rules'!$B$5</f>
        <v/>
      </c>
      <c r="K164" s="8">
        <f>'Project Rules'!$B$6</f>
        <v/>
      </c>
      <c r="L164" s="9">
        <f>IF(OR(H164="",I164=""),"",H164-7*I164)</f>
        <v/>
      </c>
      <c r="M164" s="9">
        <f>IF(OR(H164="",I164=""),"",H164-7*(I164+J164+K164))</f>
        <v/>
      </c>
      <c r="N164" s="6" t="n"/>
      <c r="O164" s="6" t="n"/>
      <c r="P164" s="7" t="inlineStr">
        <is>
          <t>Not Started</t>
        </is>
      </c>
      <c r="Q164" s="10">
        <f>IF(OR(M164="",P164="Approved",P164="Approved as Noted"),"",M164-TODAY())</f>
        <v/>
      </c>
      <c r="R164" s="4" t="inlineStr">
        <is>
          <t>Spec article</t>
        </is>
      </c>
      <c r="S164" s="11" t="inlineStr"/>
      <c r="T164" s="4" t="inlineStr">
        <is>
          <t>Product Data: For each type of product.</t>
        </is>
      </c>
    </row>
    <row r="165">
      <c r="A165" s="4" t="inlineStr">
        <is>
          <t>134900.02</t>
        </is>
      </c>
      <c r="B165" s="4" t="n">
        <v>0</v>
      </c>
      <c r="C165" s="5" t="inlineStr">
        <is>
          <t>Shop Drawings: Show layout of radiation-protected areas.</t>
        </is>
      </c>
      <c r="D165" s="4" t="inlineStr">
        <is>
          <t>13 49 00</t>
        </is>
      </c>
      <c r="E165" s="5" t="inlineStr">
        <is>
          <t>Radiation Protection</t>
        </is>
      </c>
      <c r="F165" s="4" t="inlineStr">
        <is>
          <t>SD</t>
        </is>
      </c>
      <c r="G165" s="4" t="inlineStr">
        <is>
          <t>1.4.B p.198</t>
        </is>
      </c>
      <c r="H165" s="6" t="n"/>
      <c r="I165" s="7" t="inlineStr"/>
      <c r="J165" s="8">
        <f>'Project Rules'!$B$5</f>
        <v/>
      </c>
      <c r="K165" s="8">
        <f>'Project Rules'!$B$6</f>
        <v/>
      </c>
      <c r="L165" s="9">
        <f>IF(OR(H165="",I165=""),"",H165-7*I165)</f>
        <v/>
      </c>
      <c r="M165" s="9">
        <f>IF(OR(H165="",I165=""),"",H165-7*(I165+J165+K165))</f>
        <v/>
      </c>
      <c r="N165" s="6" t="n"/>
      <c r="O165" s="6" t="n"/>
      <c r="P165" s="7" t="inlineStr">
        <is>
          <t>Not Started</t>
        </is>
      </c>
      <c r="Q165" s="10">
        <f>IF(OR(M165="",P165="Approved",P165="Approved as Noted"),"",M165-TODAY())</f>
        <v/>
      </c>
      <c r="R165" s="4" t="inlineStr">
        <is>
          <t>Spec article</t>
        </is>
      </c>
      <c r="S165" s="11" t="inlineStr"/>
      <c r="T165" s="4" t="inlineStr">
        <is>
          <t>Shop Drawings: Show layout of radiation-protected areas. Indicate lead thickness or lead equivalence of components. Show components and installation conditions not fully dimensioned or detailed in product data. 1. Show ducts, pipes, conduit, and other objects that penetrate radiation protection; include details of penetrations.</t>
        </is>
      </c>
    </row>
    <row r="166">
      <c r="A166" s="4" t="inlineStr">
        <is>
          <t>134900.03</t>
        </is>
      </c>
      <c r="B166" s="4" t="n">
        <v>0</v>
      </c>
      <c r="C166" s="5" t="inlineStr">
        <is>
          <t>Product Schedule: For observation windows, doors and frames, prepared by or under the supervision of supplier, using same reference numbers for details and openings as...</t>
        </is>
      </c>
      <c r="D166" s="4" t="inlineStr">
        <is>
          <t>13 49 00</t>
        </is>
      </c>
      <c r="E166" s="5" t="inlineStr">
        <is>
          <t>Radiation Protection</t>
        </is>
      </c>
      <c r="F166" s="4" t="inlineStr">
        <is>
          <t>SCHED</t>
        </is>
      </c>
      <c r="G166" s="4" t="inlineStr">
        <is>
          <t>1.4.C p.198</t>
        </is>
      </c>
      <c r="H166" s="6" t="n"/>
      <c r="I166" s="7" t="inlineStr"/>
      <c r="J166" s="8">
        <f>'Project Rules'!$B$5</f>
        <v/>
      </c>
      <c r="K166" s="8">
        <f>'Project Rules'!$B$6</f>
        <v/>
      </c>
      <c r="L166" s="9">
        <f>IF(OR(H166="",I166=""),"",H166-7*I166)</f>
        <v/>
      </c>
      <c r="M166" s="9">
        <f>IF(OR(H166="",I166=""),"",H166-7*(I166+J166+K166))</f>
        <v/>
      </c>
      <c r="N166" s="6" t="n"/>
      <c r="O166" s="6" t="n"/>
      <c r="P166" s="7" t="inlineStr">
        <is>
          <t>Not Started</t>
        </is>
      </c>
      <c r="Q166" s="10">
        <f>IF(OR(M166="",P166="Approved",P166="Approved as Noted"),"",M166-TODAY())</f>
        <v/>
      </c>
      <c r="R166" s="4" t="inlineStr">
        <is>
          <t>Spec article</t>
        </is>
      </c>
      <c r="S166" s="11" t="inlineStr"/>
      <c r="T166" s="4" t="inlineStr">
        <is>
          <t>Product Schedule: For observation windows, doors and frames, prepared by or under the supervision of supplier, using same reference numbers for details and openings as those on Drawings. Coordinate with final door hardware schedule.</t>
        </is>
      </c>
    </row>
    <row r="167">
      <c r="A167" s="12" t="inlineStr">
        <is>
          <t>134900.04</t>
        </is>
      </c>
      <c r="B167" s="4" t="n">
        <v>0</v>
      </c>
      <c r="C167" s="13" t="inlineStr">
        <is>
          <t>Qualification Data: For flush wood door manufacturer.</t>
        </is>
      </c>
      <c r="D167" s="12" t="inlineStr">
        <is>
          <t>13 49 00</t>
        </is>
      </c>
      <c r="E167" s="5" t="inlineStr">
        <is>
          <t>Radiation Protection</t>
        </is>
      </c>
      <c r="F167" s="12" t="inlineStr">
        <is>
          <t>CERT</t>
        </is>
      </c>
      <c r="G167" s="12" t="inlineStr">
        <is>
          <t>1.5.A p.198</t>
        </is>
      </c>
      <c r="H167" s="6" t="n"/>
      <c r="I167" s="7" t="inlineStr"/>
      <c r="J167" s="8">
        <f>'Project Rules'!$B$5</f>
        <v/>
      </c>
      <c r="K167" s="8">
        <f>'Project Rules'!$B$6</f>
        <v/>
      </c>
      <c r="L167" s="9">
        <f>IF(OR(H167="",I167=""),"",H167-7*I167)</f>
        <v/>
      </c>
      <c r="M167" s="9">
        <f>IF(OR(H167="",I167=""),"",H167-7*(I167+J167+K167))</f>
        <v/>
      </c>
      <c r="N167" s="6" t="n"/>
      <c r="O167" s="6" t="n"/>
      <c r="P167" s="7" t="inlineStr">
        <is>
          <t>Not Started</t>
        </is>
      </c>
      <c r="Q167" s="10">
        <f>IF(OR(M167="",P167="Approved",P167="Approved as Noted"),"",M167-TODAY())</f>
        <v/>
      </c>
      <c r="R167" s="12" t="inlineStr">
        <is>
          <t>Spec article</t>
        </is>
      </c>
      <c r="S167" s="11" t="inlineStr">
        <is>
          <t>Text says flush wood door manufacturer under a radiation protection section. Probably a carry-over. Confirm.</t>
        </is>
      </c>
      <c r="T167" s="4" t="inlineStr">
        <is>
          <t>Qualification Data: For flush wood door manufacturer.</t>
        </is>
      </c>
    </row>
    <row r="168">
      <c r="A168" s="4" t="inlineStr">
        <is>
          <t>134900.05</t>
        </is>
      </c>
      <c r="B168" s="4" t="n">
        <v>0</v>
      </c>
      <c r="C168" s="5" t="inlineStr">
        <is>
          <t>Field quality-control reports.</t>
        </is>
      </c>
      <c r="D168" s="4" t="inlineStr">
        <is>
          <t>13 49 00</t>
        </is>
      </c>
      <c r="E168" s="5" t="inlineStr">
        <is>
          <t>Radiation Protection</t>
        </is>
      </c>
      <c r="F168" s="4" t="inlineStr">
        <is>
          <t>TEST+REPORT</t>
        </is>
      </c>
      <c r="G168" s="4" t="inlineStr">
        <is>
          <t>1.5.B p.198</t>
        </is>
      </c>
      <c r="H168" s="6" t="n"/>
      <c r="I168" s="7" t="inlineStr"/>
      <c r="J168" s="8">
        <f>'Project Rules'!$B$5</f>
        <v/>
      </c>
      <c r="K168" s="8">
        <f>'Project Rules'!$B$6</f>
        <v/>
      </c>
      <c r="L168" s="9">
        <f>IF(OR(H168="",I168=""),"",H168-7*I168)</f>
        <v/>
      </c>
      <c r="M168" s="9">
        <f>IF(OR(H168="",I168=""),"",H168-7*(I168+J168+K168))</f>
        <v/>
      </c>
      <c r="N168" s="6" t="n"/>
      <c r="O168" s="6" t="n"/>
      <c r="P168" s="7" t="inlineStr">
        <is>
          <t>Not Started</t>
        </is>
      </c>
      <c r="Q168" s="10">
        <f>IF(OR(M168="",P168="Approved",P168="Approved as Noted"),"",M168-TODAY())</f>
        <v/>
      </c>
      <c r="R168" s="4" t="inlineStr">
        <is>
          <t>Spec article</t>
        </is>
      </c>
      <c r="S168" s="11" t="inlineStr"/>
      <c r="T168" s="4" t="inlineStr">
        <is>
          <t>Field quality-control reports.</t>
        </is>
      </c>
    </row>
    <row r="169">
      <c r="A169" s="4" t="inlineStr">
        <is>
          <t>134900.06</t>
        </is>
      </c>
      <c r="B169" s="4" t="n">
        <v>0</v>
      </c>
      <c r="C169" s="5" t="inlineStr">
        <is>
          <t>Operation and Maintenance Data: For neutron-shielding doors to include in operation and maintenance manuals.</t>
        </is>
      </c>
      <c r="D169" s="4" t="inlineStr">
        <is>
          <t>13 49 00</t>
        </is>
      </c>
      <c r="E169" s="5" t="inlineStr">
        <is>
          <t>Radiation Protection</t>
        </is>
      </c>
      <c r="F169" s="4" t="inlineStr">
        <is>
          <t>OM</t>
        </is>
      </c>
      <c r="G169" s="4" t="inlineStr">
        <is>
          <t>1.6.A p.198</t>
        </is>
      </c>
      <c r="H169" s="6" t="n"/>
      <c r="I169" s="7" t="inlineStr"/>
      <c r="J169" s="8">
        <f>'Project Rules'!$B$5</f>
        <v/>
      </c>
      <c r="K169" s="8">
        <f>'Project Rules'!$B$6</f>
        <v/>
      </c>
      <c r="L169" s="9">
        <f>IF(OR(H169="",I169=""),"",H169-7*I169)</f>
        <v/>
      </c>
      <c r="M169" s="9">
        <f>IF(OR(H169="",I169=""),"",H169-7*(I169+J169+K169))</f>
        <v/>
      </c>
      <c r="N169" s="6" t="n"/>
      <c r="O169" s="6" t="n"/>
      <c r="P169" s="7" t="inlineStr">
        <is>
          <t>Not Started</t>
        </is>
      </c>
      <c r="Q169" s="10">
        <f>IF(OR(M169="",P169="Approved",P169="Approved as Noted"),"",M169-TODAY())</f>
        <v/>
      </c>
      <c r="R169" s="4" t="inlineStr">
        <is>
          <t>Spec article</t>
        </is>
      </c>
      <c r="S169" s="11" t="inlineStr"/>
      <c r="T169" s="4" t="inlineStr">
        <is>
          <t>Operation and Maintenance Data: For neutron-shielding doors to include in operation and maintenance manuals.</t>
        </is>
      </c>
    </row>
    <row r="170">
      <c r="A170" s="4" t="inlineStr">
        <is>
          <t>210010.01</t>
        </is>
      </c>
      <c r="B170" s="4" t="n">
        <v>0</v>
      </c>
      <c r="C170" s="5" t="inlineStr">
        <is>
          <t>Fire protection fabrication shop drawings (coordinated with all trades, 1/8 in. scale plans, 1/4 in. mechanical rooms)</t>
        </is>
      </c>
      <c r="D170" s="4" t="inlineStr">
        <is>
          <t>21 00 10</t>
        </is>
      </c>
      <c r="E170" s="5" t="inlineStr">
        <is>
          <t>Basic Fire Protection Requirements</t>
        </is>
      </c>
      <c r="F170" s="4" t="inlineStr">
        <is>
          <t>SD</t>
        </is>
      </c>
      <c r="G170" s="4" t="inlineStr">
        <is>
          <t>1.08 p.207</t>
        </is>
      </c>
      <c r="H170" s="6" t="n"/>
      <c r="I170" s="7" t="inlineStr"/>
      <c r="J170" s="8">
        <f>'Project Rules'!$B$5</f>
        <v/>
      </c>
      <c r="K170" s="8">
        <f>'Project Rules'!$B$6</f>
        <v/>
      </c>
      <c r="L170" s="9">
        <f>IF(OR(H170="",I170=""),"",H170-7*I170)</f>
        <v/>
      </c>
      <c r="M170" s="9">
        <f>IF(OR(H170="",I170=""),"",H170-7*(I170+J170+K170))</f>
        <v/>
      </c>
      <c r="N170" s="6" t="n"/>
      <c r="O170" s="6" t="n"/>
      <c r="P170" s="7" t="inlineStr">
        <is>
          <t>Not Started</t>
        </is>
      </c>
      <c r="Q170" s="10">
        <f>IF(OR(M170="",P170="Approved",P170="Approved as Noted"),"",M170-TODAY())</f>
        <v/>
      </c>
      <c r="R170" s="4" t="inlineStr">
        <is>
          <t>Spec article (merged)</t>
        </is>
      </c>
      <c r="S170" s="11" t="inlineStr"/>
      <c r="T170" s="4" t="inlineStr">
        <is>
          <t>Each contractor shall submit shop drawings whenever (1) equipment proposed varies in physical size and arrangement from that indicated on the drawings, thus causing rearrangement of equipment space, (2) where tight spaces require extreme coordination between ductwork, piping, conduit and other equipment, and (3) where called for elsewhere in the specifications. All required shop drawings, except as hereinafter specified, shall be prepared at a scale of not less than 1/8 inch equal to 1 foot..</t>
        </is>
      </c>
    </row>
    <row r="171">
      <c r="A171" s="4" t="inlineStr">
        <is>
          <t>210010.02</t>
        </is>
      </c>
      <c r="B171" s="4" t="n">
        <v>0</v>
      </c>
      <c r="C171" s="5" t="inlineStr">
        <is>
          <t>Operating and maintenance instructions: three sets with diagrams, parts lists and warranties for each item of equipment</t>
        </is>
      </c>
      <c r="D171" s="4" t="inlineStr">
        <is>
          <t>21 00 10</t>
        </is>
      </c>
      <c r="E171" s="5" t="inlineStr">
        <is>
          <t>Basic Fire Protection Requirements</t>
        </is>
      </c>
      <c r="F171" s="4" t="inlineStr">
        <is>
          <t>OM</t>
        </is>
      </c>
      <c r="G171" s="4" t="inlineStr">
        <is>
          <t>1.12 p.208</t>
        </is>
      </c>
      <c r="H171" s="6" t="n"/>
      <c r="I171" s="7" t="inlineStr"/>
      <c r="J171" s="8">
        <f>'Project Rules'!$B$5</f>
        <v/>
      </c>
      <c r="K171" s="8">
        <f>'Project Rules'!$B$6</f>
        <v/>
      </c>
      <c r="L171" s="9">
        <f>IF(OR(H171="",I171=""),"",H171-7*I171)</f>
        <v/>
      </c>
      <c r="M171" s="9">
        <f>IF(OR(H171="",I171=""),"",H171-7*(I171+J171+K171))</f>
        <v/>
      </c>
      <c r="N171" s="6" t="n"/>
      <c r="O171" s="6" t="n"/>
      <c r="P171" s="7" t="inlineStr">
        <is>
          <t>Not Started</t>
        </is>
      </c>
      <c r="Q171" s="10">
        <f>IF(OR(M171="",P171="Approved",P171="Approved as Noted"),"",M171-TODAY())</f>
        <v/>
      </c>
      <c r="R171" s="4" t="inlineStr">
        <is>
          <t>Added by Claude</t>
        </is>
      </c>
      <c r="S171" s="11" t="inlineStr">
        <is>
          <t>Triplicate sets</t>
        </is>
      </c>
      <c r="T171" s="4" t="inlineStr">
        <is>
          <t>The Contractor shall prepare, in triplicate for the Owner's Manual, complete sets of operating and maintenance instructions, diagrams, manuals, parts lists, etc., for each item of equipment. Include copies of all equipment warranties.</t>
        </is>
      </c>
    </row>
    <row r="172">
      <c r="A172" s="4" t="inlineStr">
        <is>
          <t>210010.03</t>
        </is>
      </c>
      <c r="B172" s="4" t="n">
        <v>0</v>
      </c>
      <c r="C172" s="5" t="inlineStr">
        <is>
          <t>Letter of release after instructing Owner's representative (minimum 8 hours)</t>
        </is>
      </c>
      <c r="D172" s="4" t="inlineStr">
        <is>
          <t>21 00 10</t>
        </is>
      </c>
      <c r="E172" s="5" t="inlineStr">
        <is>
          <t>Basic Fire Protection Requirements</t>
        </is>
      </c>
      <c r="F172" s="4" t="inlineStr">
        <is>
          <t>CERT</t>
        </is>
      </c>
      <c r="G172" s="4" t="inlineStr">
        <is>
          <t>1.12.B p.208</t>
        </is>
      </c>
      <c r="H172" s="6" t="n"/>
      <c r="I172" s="7" t="inlineStr"/>
      <c r="J172" s="8">
        <f>'Project Rules'!$B$5</f>
        <v/>
      </c>
      <c r="K172" s="8">
        <f>'Project Rules'!$B$6</f>
        <v/>
      </c>
      <c r="L172" s="9">
        <f>IF(OR(H172="",I172=""),"",H172-7*I172)</f>
        <v/>
      </c>
      <c r="M172" s="9">
        <f>IF(OR(H172="",I172=""),"",H172-7*(I172+J172+K172))</f>
        <v/>
      </c>
      <c r="N172" s="6" t="n"/>
      <c r="O172" s="6" t="n"/>
      <c r="P172" s="7" t="inlineStr">
        <is>
          <t>Not Started</t>
        </is>
      </c>
      <c r="Q172" s="10">
        <f>IF(OR(M172="",P172="Approved",P172="Approved as Noted"),"",M172-TODAY())</f>
        <v/>
      </c>
      <c r="R172" s="4" t="inlineStr">
        <is>
          <t>Added by Claude</t>
        </is>
      </c>
      <c r="S172" s="11" t="inlineStr">
        <is>
          <t>At completion of Owner instruction</t>
        </is>
      </c>
      <c r="T172" s="4" t="inlineStr">
        <is>
          <t>Contractor shall provide a technician to instruct the Owner's representative for not less than 8 hours. Upon completion, a letter of release is required stating dates of instruction and personnel instructed.</t>
        </is>
      </c>
    </row>
    <row r="173">
      <c r="A173" s="4" t="inlineStr">
        <is>
          <t>210010.04</t>
        </is>
      </c>
      <c r="B173" s="4" t="n">
        <v>0</v>
      </c>
      <c r="C173" s="5" t="inlineStr">
        <is>
          <t>Third-party (NRTL) labeling certification for packaged equipment, as a system for its intended use</t>
        </is>
      </c>
      <c r="D173" s="4" t="inlineStr">
        <is>
          <t>21 00 10</t>
        </is>
      </c>
      <c r="E173" s="5" t="inlineStr">
        <is>
          <t>Basic Fire Protection Requirements</t>
        </is>
      </c>
      <c r="F173" s="4" t="inlineStr">
        <is>
          <t>CERT</t>
        </is>
      </c>
      <c r="G173" s="4" t="inlineStr">
        <is>
          <t>1.20.E p.210</t>
        </is>
      </c>
      <c r="H173" s="6" t="n"/>
      <c r="I173" s="7" t="inlineStr"/>
      <c r="J173" s="8">
        <f>'Project Rules'!$B$5</f>
        <v/>
      </c>
      <c r="K173" s="8">
        <f>'Project Rules'!$B$6</f>
        <v/>
      </c>
      <c r="L173" s="9">
        <f>IF(OR(H173="",I173=""),"",H173-7*I173)</f>
        <v/>
      </c>
      <c r="M173" s="9">
        <f>IF(OR(H173="",I173=""),"",H173-7*(I173+J173+K173))</f>
        <v/>
      </c>
      <c r="N173" s="6" t="n"/>
      <c r="O173" s="6" t="n"/>
      <c r="P173" s="7" t="inlineStr">
        <is>
          <t>Not Started</t>
        </is>
      </c>
      <c r="Q173" s="10">
        <f>IF(OR(M173="",P173="Approved",P173="Approved as Noted"),"",M173-TODAY())</f>
        <v/>
      </c>
      <c r="R173" s="4" t="inlineStr">
        <is>
          <t>Spec article</t>
        </is>
      </c>
      <c r="S173" s="11" t="inlineStr">
        <is>
          <t>Applies to packaged equipment only</t>
        </is>
      </c>
      <c r="T173" s="4" t="inlineStr">
        <is>
          <t>THIRD PARTY CERTIFICATION: All Packaged equipment shall be independently Third Party labeled as a system for its intended use by a Nationally Recognized Testing Laboratory (NRTL) in accordance with OSHA Federal Regulations 29CFR1910.303 and .399, as well as NFPA Pamphlet #70, National Electric Code (NEC), Article 90-7.</t>
        </is>
      </c>
    </row>
    <row r="174">
      <c r="A174" s="4" t="inlineStr">
        <is>
          <t>210010.05</t>
        </is>
      </c>
      <c r="B174" s="4" t="n">
        <v>0</v>
      </c>
      <c r="C174" s="5" t="inlineStr">
        <is>
          <t>Record drawings and marked-up specifications (revisions to piping and ductwork, equipment locations, inverts)</t>
        </is>
      </c>
      <c r="D174" s="4" t="inlineStr">
        <is>
          <t>21 00 10</t>
        </is>
      </c>
      <c r="E174" s="5" t="inlineStr">
        <is>
          <t>Basic Fire Protection Requirements</t>
        </is>
      </c>
      <c r="F174" s="4" t="inlineStr">
        <is>
          <t>RECORD</t>
        </is>
      </c>
      <c r="G174" s="4" t="inlineStr">
        <is>
          <t>1.22 p.210</t>
        </is>
      </c>
      <c r="H174" s="6" t="n"/>
      <c r="I174" s="7" t="inlineStr"/>
      <c r="J174" s="8">
        <f>'Project Rules'!$B$5</f>
        <v/>
      </c>
      <c r="K174" s="8">
        <f>'Project Rules'!$B$6</f>
        <v/>
      </c>
      <c r="L174" s="9">
        <f>IF(OR(H174="",I174=""),"",H174-7*I174)</f>
        <v/>
      </c>
      <c r="M174" s="9">
        <f>IF(OR(H174="",I174=""),"",H174-7*(I174+J174+K174))</f>
        <v/>
      </c>
      <c r="N174" s="6" t="n"/>
      <c r="O174" s="6" t="n"/>
      <c r="P174" s="7" t="inlineStr">
        <is>
          <t>Not Started</t>
        </is>
      </c>
      <c r="Q174" s="10">
        <f>IF(OR(M174="",P174="Approved",P174="Approved as Noted"),"",M174-TODAY())</f>
        <v/>
      </c>
      <c r="R174" s="4" t="inlineStr">
        <is>
          <t>Added by Claude</t>
        </is>
      </c>
      <c r="S174" s="11" t="inlineStr">
        <is>
          <t>At closeout; see Section 01 77 00 and 01 78 39</t>
        </is>
      </c>
      <c r="T174" s="4" t="inlineStr">
        <is>
          <t>Mark Drawings to indicate revisions to piping and ductwork, actual equipment locations, and actual inverts and locations of underground piping. Mark Specifications to indicate approved substitutions, Change Orders, and actual equipment used.</t>
        </is>
      </c>
    </row>
    <row r="175">
      <c r="A175" s="12" t="inlineStr">
        <is>
          <t>211100.01</t>
        </is>
      </c>
      <c r="B175" s="4" t="n">
        <v>0</v>
      </c>
      <c r="C175" s="13" t="inlineStr">
        <is>
          <t>Fire protection piping: shop drawings, product data and hydraulic calculations, first to the Fire Marshal and insurer, then to the Architect with their Certificate of Approval</t>
        </is>
      </c>
      <c r="D175" s="12" t="inlineStr">
        <is>
          <t>21 11 00</t>
        </is>
      </c>
      <c r="E175" s="5" t="inlineStr">
        <is>
          <t>Fire Protection Piping</t>
        </is>
      </c>
      <c r="F175" s="12" t="inlineStr">
        <is>
          <t>SD+PD+CALC</t>
        </is>
      </c>
      <c r="G175" s="12" t="inlineStr">
        <is>
          <t>1.05.A-D p.222</t>
        </is>
      </c>
      <c r="H175" s="6" t="n"/>
      <c r="I175" s="7" t="inlineStr"/>
      <c r="J175" s="8">
        <f>'Project Rules'!$B$5</f>
        <v/>
      </c>
      <c r="K175" s="8">
        <f>'Project Rules'!$B$6</f>
        <v/>
      </c>
      <c r="L175" s="9">
        <f>IF(OR(H175="",I175=""),"",H175-7*I175)</f>
        <v/>
      </c>
      <c r="M175" s="9">
        <f>IF(OR(H175="",I175=""),"",H175-7*(I175+J175+K175))</f>
        <v/>
      </c>
      <c r="N175" s="6" t="n"/>
      <c r="O175" s="6" t="n"/>
      <c r="P175" s="7" t="inlineStr">
        <is>
          <t>Not Started</t>
        </is>
      </c>
      <c r="Q175" s="10">
        <f>IF(OR(M175="",P175="Approved",P175="Approved as Noted"),"",M175-TODAY())</f>
        <v/>
      </c>
      <c r="R175" s="12" t="inlineStr">
        <is>
          <t>Spec article (merged)</t>
        </is>
      </c>
      <c r="S175" s="11" t="inlineStr">
        <is>
          <t>Two-step review: authorities first, then Architect</t>
        </is>
      </c>
      <c r="T175" s="4" t="inlineStr">
        <is>
          <t>Prior to submittal to Architect, submit shop drawings, product data, and hydraulic calculations to local Fire Marshal and Owner's Insurance. After approval from local Fire Marshal and Owner's Insurance Underwriter, submit shop drawings, product data, and hydraulic calculations to Architect (with Certificate of Approval from local Fire Marshal and Owner's Insurance Underwriter for approval in accordance with Division 01 and Section 21 0010. Indicate pipe materials used, jointing methods, supports, floor and wall penetration seals. Indicate valve data and ratings.</t>
        </is>
      </c>
    </row>
    <row r="176">
      <c r="A176" s="4" t="inlineStr">
        <is>
          <t>211100.02</t>
        </is>
      </c>
      <c r="B176" s="4" t="n">
        <v>0</v>
      </c>
      <c r="C176" s="5" t="inlineStr">
        <is>
          <t>Test Certificate of Approval for Piping System.</t>
        </is>
      </c>
      <c r="D176" s="4" t="inlineStr">
        <is>
          <t>21 11 00</t>
        </is>
      </c>
      <c r="E176" s="5" t="inlineStr">
        <is>
          <t>Fire Protection Piping</t>
        </is>
      </c>
      <c r="F176" s="4" t="inlineStr">
        <is>
          <t>CERT</t>
        </is>
      </c>
      <c r="G176" s="4" t="inlineStr">
        <is>
          <t>1.05.E.1 p.222</t>
        </is>
      </c>
      <c r="H176" s="6" t="n"/>
      <c r="I176" s="7" t="inlineStr"/>
      <c r="J176" s="8">
        <f>'Project Rules'!$B$5</f>
        <v/>
      </c>
      <c r="K176" s="8">
        <f>'Project Rules'!$B$6</f>
        <v/>
      </c>
      <c r="L176" s="9">
        <f>IF(OR(H176="",I176=""),"",H176-7*I176)</f>
        <v/>
      </c>
      <c r="M176" s="9">
        <f>IF(OR(H176="",I176=""),"",H176-7*(I176+J176+K176))</f>
        <v/>
      </c>
      <c r="N176" s="6" t="n"/>
      <c r="O176" s="6" t="n"/>
      <c r="P176" s="7" t="inlineStr">
        <is>
          <t>Not Started</t>
        </is>
      </c>
      <c r="Q176" s="10">
        <f>IF(OR(M176="",P176="Approved",P176="Approved as Noted"),"",M176-TODAY())</f>
        <v/>
      </c>
      <c r="R176" s="4" t="inlineStr">
        <is>
          <t>Spec article</t>
        </is>
      </c>
      <c r="S176" s="11" t="inlineStr"/>
      <c r="T176" s="4" t="inlineStr">
        <is>
          <t>Test Certificate of Approval for Piping System.</t>
        </is>
      </c>
    </row>
    <row r="177">
      <c r="A177" s="12" t="inlineStr">
        <is>
          <t>211300.01</t>
        </is>
      </c>
      <c r="B177" s="4" t="n">
        <v>0</v>
      </c>
      <c r="C177" s="13" t="inlineStr">
        <is>
          <t>Automatic sprinkler system: shop drawings, product data and hydraulic calculations, first to the Fire Marshal and insurer, then to the Architect with their Certificate of Approval</t>
        </is>
      </c>
      <c r="D177" s="12" t="inlineStr">
        <is>
          <t>21 13 00</t>
        </is>
      </c>
      <c r="E177" s="5" t="inlineStr">
        <is>
          <t>Automatic Sprinkler Systems</t>
        </is>
      </c>
      <c r="F177" s="12" t="inlineStr">
        <is>
          <t>SD+PD+CALC</t>
        </is>
      </c>
      <c r="G177" s="12" t="inlineStr">
        <is>
          <t>1.06.A-C p.224</t>
        </is>
      </c>
      <c r="H177" s="6" t="n"/>
      <c r="I177" s="7" t="inlineStr"/>
      <c r="J177" s="8">
        <f>'Project Rules'!$B$5</f>
        <v/>
      </c>
      <c r="K177" s="8">
        <f>'Project Rules'!$B$6</f>
        <v/>
      </c>
      <c r="L177" s="9">
        <f>IF(OR(H177="",I177=""),"",H177-7*I177)</f>
        <v/>
      </c>
      <c r="M177" s="9">
        <f>IF(OR(H177="",I177=""),"",H177-7*(I177+J177+K177))</f>
        <v/>
      </c>
      <c r="N177" s="6" t="n"/>
      <c r="O177" s="6" t="n"/>
      <c r="P177" s="7" t="inlineStr">
        <is>
          <t>Not Started</t>
        </is>
      </c>
      <c r="Q177" s="10">
        <f>IF(OR(M177="",P177="Approved",P177="Approved as Noted"),"",M177-TODAY())</f>
        <v/>
      </c>
      <c r="R177" s="12" t="inlineStr">
        <is>
          <t>Spec article (merged)</t>
        </is>
      </c>
      <c r="S177" s="11" t="inlineStr">
        <is>
          <t>Two-step review: authorities first, then Architect</t>
        </is>
      </c>
      <c r="T177" s="4" t="inlineStr">
        <is>
          <t>Prior to submittal to Architect submit shop drawings, product data, and hydraulic calculations to local Fire Marshal and Owner's Insurance Underwriter. After approval from local Fire Marshal and Owner's Insurance Underwriter submit shop drawings, product data and hydraulic calculations to Architect (with Certificate of Approval from local Fire Marshal and Owner's Insurance Underwriter) for approval in accordance with Division 01 and Section 21 0010. Indicate hydraulic calculations, detailed pipe layout, hangers and supports, components and accessories.</t>
        </is>
      </c>
    </row>
    <row r="178">
      <c r="A178" s="4" t="inlineStr">
        <is>
          <t>211300.02</t>
        </is>
      </c>
      <c r="B178" s="4" t="n">
        <v>0</v>
      </c>
      <c r="C178" s="5" t="inlineStr">
        <is>
          <t>Project record documents</t>
        </is>
      </c>
      <c r="D178" s="4" t="inlineStr">
        <is>
          <t>21 13 00</t>
        </is>
      </c>
      <c r="E178" s="5" t="inlineStr">
        <is>
          <t>Automatic Sprinkler Systems</t>
        </is>
      </c>
      <c r="F178" s="4" t="inlineStr">
        <is>
          <t>RECORD</t>
        </is>
      </c>
      <c r="G178" s="4" t="inlineStr">
        <is>
          <t>1.07.A p.225</t>
        </is>
      </c>
      <c r="H178" s="6" t="n"/>
      <c r="I178" s="7" t="inlineStr"/>
      <c r="J178" s="8">
        <f>'Project Rules'!$B$5</f>
        <v/>
      </c>
      <c r="K178" s="8">
        <f>'Project Rules'!$B$6</f>
        <v/>
      </c>
      <c r="L178" s="9">
        <f>IF(OR(H178="",I178=""),"",H178-7*I178)</f>
        <v/>
      </c>
      <c r="M178" s="9">
        <f>IF(OR(H178="",I178=""),"",H178-7*(I178+J178+K178))</f>
        <v/>
      </c>
      <c r="N178" s="6" t="n"/>
      <c r="O178" s="6" t="n"/>
      <c r="P178" s="7" t="inlineStr">
        <is>
          <t>Not Started</t>
        </is>
      </c>
      <c r="Q178" s="10">
        <f>IF(OR(M178="",P178="Approved",P178="Approved as Noted"),"",M178-TODAY())</f>
        <v/>
      </c>
      <c r="R178" s="4" t="inlineStr">
        <is>
          <t>Added by Claude</t>
        </is>
      </c>
      <c r="S178" s="11" t="inlineStr">
        <is>
          <t>At closeout</t>
        </is>
      </c>
      <c r="T178" s="4" t="inlineStr">
        <is>
          <t>Submit documents in accordance with Division 01 and Section 21 0010.</t>
        </is>
      </c>
    </row>
    <row r="179">
      <c r="A179" s="4" t="inlineStr">
        <is>
          <t>211300.03</t>
        </is>
      </c>
      <c r="B179" s="4" t="n">
        <v>0</v>
      </c>
      <c r="C179" s="5" t="inlineStr">
        <is>
          <t>Operation and maintenance data with record drawings</t>
        </is>
      </c>
      <c r="D179" s="4" t="inlineStr">
        <is>
          <t>21 13 00</t>
        </is>
      </c>
      <c r="E179" s="5" t="inlineStr">
        <is>
          <t>Automatic Sprinkler Systems</t>
        </is>
      </c>
      <c r="F179" s="4" t="inlineStr">
        <is>
          <t>OM</t>
        </is>
      </c>
      <c r="G179" s="4" t="inlineStr">
        <is>
          <t>1.08 p.225</t>
        </is>
      </c>
      <c r="H179" s="6" t="n"/>
      <c r="I179" s="7" t="inlineStr"/>
      <c r="J179" s="8">
        <f>'Project Rules'!$B$5</f>
        <v/>
      </c>
      <c r="K179" s="8">
        <f>'Project Rules'!$B$6</f>
        <v/>
      </c>
      <c r="L179" s="9">
        <f>IF(OR(H179="",I179=""),"",H179-7*I179)</f>
        <v/>
      </c>
      <c r="M179" s="9">
        <f>IF(OR(H179="",I179=""),"",H179-7*(I179+J179+K179))</f>
        <v/>
      </c>
      <c r="N179" s="6" t="n"/>
      <c r="O179" s="6" t="n"/>
      <c r="P179" s="7" t="inlineStr">
        <is>
          <t>Not Started</t>
        </is>
      </c>
      <c r="Q179" s="10">
        <f>IF(OR(M179="",P179="Approved",P179="Approved as Noted"),"",M179-TODAY())</f>
        <v/>
      </c>
      <c r="R179" s="4" t="inlineStr">
        <is>
          <t>Added by Claude</t>
        </is>
      </c>
      <c r="S179" s="11" t="inlineStr">
        <is>
          <t>At closeout</t>
        </is>
      </c>
      <c r="T179" s="4" t="inlineStr">
        <is>
          <t>Submit manufacturer's operation and maintenance data. Include written maintenance data on components of system, servicing requirements, and Record Drawings.</t>
        </is>
      </c>
    </row>
    <row r="180">
      <c r="A180" s="4" t="inlineStr">
        <is>
          <t>211300.04</t>
        </is>
      </c>
      <c r="B180" s="4" t="n">
        <v>0</v>
      </c>
      <c r="C180" s="5" t="inlineStr">
        <is>
          <t>Test Certificate of Approval for alarm switches, supervisory switches and electric alarm bells</t>
        </is>
      </c>
      <c r="D180" s="4" t="inlineStr">
        <is>
          <t>21 13 00</t>
        </is>
      </c>
      <c r="E180" s="5" t="inlineStr">
        <is>
          <t>Automatic Sprinkler Systems</t>
        </is>
      </c>
      <c r="F180" s="4" t="inlineStr">
        <is>
          <t>CERT</t>
        </is>
      </c>
      <c r="G180" s="4" t="inlineStr">
        <is>
          <t>3.03.C p.225</t>
        </is>
      </c>
      <c r="H180" s="6" t="n"/>
      <c r="I180" s="7" t="inlineStr"/>
      <c r="J180" s="8">
        <f>'Project Rules'!$B$5</f>
        <v/>
      </c>
      <c r="K180" s="8">
        <f>'Project Rules'!$B$6</f>
        <v/>
      </c>
      <c r="L180" s="9">
        <f>IF(OR(H180="",I180=""),"",H180-7*I180)</f>
        <v/>
      </c>
      <c r="M180" s="9">
        <f>IF(OR(H180="",I180=""),"",H180-7*(I180+J180+K180))</f>
        <v/>
      </c>
      <c r="N180" s="6" t="n"/>
      <c r="O180" s="6" t="n"/>
      <c r="P180" s="7" t="inlineStr">
        <is>
          <t>Not Started</t>
        </is>
      </c>
      <c r="Q180" s="10">
        <f>IF(OR(M180="",P180="Approved",P180="Approved as Noted"),"",M180-TODAY())</f>
        <v/>
      </c>
      <c r="R180" s="4" t="inlineStr">
        <is>
          <t>Added by Claude</t>
        </is>
      </c>
      <c r="S180" s="11" t="inlineStr">
        <is>
          <t>After testing</t>
        </is>
      </c>
      <c r="T180" s="4" t="inlineStr">
        <is>
          <t>After completion and approval of testing submit "Test Certificate of Approval" for alarm switches, supervisory switches, and electric alarm bells. Signed by Contractor.</t>
        </is>
      </c>
    </row>
    <row r="181">
      <c r="A181" s="4" t="inlineStr">
        <is>
          <t>211300.05</t>
        </is>
      </c>
      <c r="B181" s="4" t="n">
        <v>0</v>
      </c>
      <c r="C181" s="5" t="inlineStr">
        <is>
          <t>Demonstration Certificates of Completion for wet pipe and dry pipe sprinkler systems</t>
        </is>
      </c>
      <c r="D181" s="4" t="inlineStr">
        <is>
          <t>21 13 00</t>
        </is>
      </c>
      <c r="E181" s="5" t="inlineStr">
        <is>
          <t>Automatic Sprinkler Systems</t>
        </is>
      </c>
      <c r="F181" s="4" t="inlineStr">
        <is>
          <t>CERT</t>
        </is>
      </c>
      <c r="G181" s="4" t="inlineStr">
        <is>
          <t>3.04.B p.226</t>
        </is>
      </c>
      <c r="H181" s="6" t="n"/>
      <c r="I181" s="7" t="inlineStr"/>
      <c r="J181" s="8">
        <f>'Project Rules'!$B$5</f>
        <v/>
      </c>
      <c r="K181" s="8">
        <f>'Project Rules'!$B$6</f>
        <v/>
      </c>
      <c r="L181" s="9">
        <f>IF(OR(H181="",I181=""),"",H181-7*I181)</f>
        <v/>
      </c>
      <c r="M181" s="9">
        <f>IF(OR(H181="",I181=""),"",H181-7*(I181+J181+K181))</f>
        <v/>
      </c>
      <c r="N181" s="6" t="n"/>
      <c r="O181" s="6" t="n"/>
      <c r="P181" s="7" t="inlineStr">
        <is>
          <t>Not Started</t>
        </is>
      </c>
      <c r="Q181" s="10">
        <f>IF(OR(M181="",P181="Approved",P181="Approved as Noted"),"",M181-TODAY())</f>
        <v/>
      </c>
      <c r="R181" s="4" t="inlineStr">
        <is>
          <t>Added by Claude</t>
        </is>
      </c>
      <c r="S181" s="11" t="inlineStr">
        <is>
          <t>After demonstration</t>
        </is>
      </c>
      <c r="T181" s="4" t="inlineStr">
        <is>
          <t>After completion and approval of demonstrations, submit "Demonstration Certificates of Completion", signed by Manufacturer's Representative, Contractor, Owner and Architect.</t>
        </is>
      </c>
    </row>
    <row r="182">
      <c r="A182" s="4" t="inlineStr">
        <is>
          <t>220010.01</t>
        </is>
      </c>
      <c r="B182" s="4" t="n">
        <v>0</v>
      </c>
      <c r="C182" s="5" t="inlineStr">
        <is>
          <t>Plumbing piping fabrication shop drawings (coordinated with all trades, 1/8 in. scale plans, 1/4 in. mechanical rooms)</t>
        </is>
      </c>
      <c r="D182" s="4" t="inlineStr">
        <is>
          <t>22 00 10</t>
        </is>
      </c>
      <c r="E182" s="5" t="inlineStr">
        <is>
          <t>Basic Plumbing Requirements</t>
        </is>
      </c>
      <c r="F182" s="4" t="inlineStr">
        <is>
          <t>SD</t>
        </is>
      </c>
      <c r="G182" s="4" t="inlineStr">
        <is>
          <t>1.08 p.228</t>
        </is>
      </c>
      <c r="H182" s="6" t="n"/>
      <c r="I182" s="7" t="inlineStr"/>
      <c r="J182" s="8">
        <f>'Project Rules'!$B$5</f>
        <v/>
      </c>
      <c r="K182" s="8">
        <f>'Project Rules'!$B$6</f>
        <v/>
      </c>
      <c r="L182" s="9">
        <f>IF(OR(H182="",I182=""),"",H182-7*I182)</f>
        <v/>
      </c>
      <c r="M182" s="9">
        <f>IF(OR(H182="",I182=""),"",H182-7*(I182+J182+K182))</f>
        <v/>
      </c>
      <c r="N182" s="6" t="n"/>
      <c r="O182" s="6" t="n"/>
      <c r="P182" s="7" t="inlineStr">
        <is>
          <t>Not Started</t>
        </is>
      </c>
      <c r="Q182" s="10">
        <f>IF(OR(M182="",P182="Approved",P182="Approved as Noted"),"",M182-TODAY())</f>
        <v/>
      </c>
      <c r="R182" s="4" t="inlineStr">
        <is>
          <t>Spec article (merged)</t>
        </is>
      </c>
      <c r="S182" s="11" t="inlineStr"/>
      <c r="T182" s="4" t="inlineStr">
        <is>
          <t>Contractor shall submit shop drawings whenever (1) equipment proposed varies in physical size and arrangement from that indicated on the drawings, thus causing rearrangement of equipment space, (2) where tight spaces require extreme coordination between ductwork, piping, conduit and other equipment, and (3) where called for elsewhere in these specifications. Contractor shall submit piping shop drawings for review by the Architect. Fabrication drawings shall be fully coordinated with ALL other trades and with existing conditions. All required shop drawings, except as hereinafter specified, shall be prepared at a scale of not less than 1/8 in. equal to 1 ft. for floor plans and 1/4 in. equal to 1 ft. for mechanical rooms.</t>
        </is>
      </c>
    </row>
    <row r="183">
      <c r="A183" s="4" t="inlineStr">
        <is>
          <t>220010.02</t>
        </is>
      </c>
      <c r="B183" s="4" t="n">
        <v>0</v>
      </c>
      <c r="C183" s="5" t="inlineStr">
        <is>
          <t>Operating and maintenance instructions: three sets with diagrams, parts lists and warranties for each item of equipment</t>
        </is>
      </c>
      <c r="D183" s="4" t="inlineStr">
        <is>
          <t>22 00 10</t>
        </is>
      </c>
      <c r="E183" s="5" t="inlineStr">
        <is>
          <t>Basic Plumbing Requirements</t>
        </is>
      </c>
      <c r="F183" s="4" t="inlineStr">
        <is>
          <t>OM</t>
        </is>
      </c>
      <c r="G183" s="4" t="inlineStr">
        <is>
          <t>1.12 p.229</t>
        </is>
      </c>
      <c r="H183" s="6" t="n"/>
      <c r="I183" s="7" t="inlineStr"/>
      <c r="J183" s="8">
        <f>'Project Rules'!$B$5</f>
        <v/>
      </c>
      <c r="K183" s="8">
        <f>'Project Rules'!$B$6</f>
        <v/>
      </c>
      <c r="L183" s="9">
        <f>IF(OR(H183="",I183=""),"",H183-7*I183)</f>
        <v/>
      </c>
      <c r="M183" s="9">
        <f>IF(OR(H183="",I183=""),"",H183-7*(I183+J183+K183))</f>
        <v/>
      </c>
      <c r="N183" s="6" t="n"/>
      <c r="O183" s="6" t="n"/>
      <c r="P183" s="7" t="inlineStr">
        <is>
          <t>Not Started</t>
        </is>
      </c>
      <c r="Q183" s="10">
        <f>IF(OR(M183="",P183="Approved",P183="Approved as Noted"),"",M183-TODAY())</f>
        <v/>
      </c>
      <c r="R183" s="4" t="inlineStr">
        <is>
          <t>Added by Claude</t>
        </is>
      </c>
      <c r="S183" s="11" t="inlineStr">
        <is>
          <t>Triplicate sets</t>
        </is>
      </c>
      <c r="T183" s="4" t="inlineStr">
        <is>
          <t>The Contractor shall prepare, in triplicate for the Owner's Manual, complete sets of operating and maintenance instructions, diagrams, manuals, parts lists, etc., for each item of equipment. Include copies of all equipment warranties.</t>
        </is>
      </c>
    </row>
    <row r="184">
      <c r="A184" s="4" t="inlineStr">
        <is>
          <t>220010.03</t>
        </is>
      </c>
      <c r="B184" s="4" t="n">
        <v>0</v>
      </c>
      <c r="C184" s="5" t="inlineStr">
        <is>
          <t>Letter of release after instructing Owner's representative (minimum 8 hours)</t>
        </is>
      </c>
      <c r="D184" s="4" t="inlineStr">
        <is>
          <t>22 00 10</t>
        </is>
      </c>
      <c r="E184" s="5" t="inlineStr">
        <is>
          <t>Basic Plumbing Requirements</t>
        </is>
      </c>
      <c r="F184" s="4" t="inlineStr">
        <is>
          <t>CERT</t>
        </is>
      </c>
      <c r="G184" s="4" t="inlineStr">
        <is>
          <t>1.12.B p.229</t>
        </is>
      </c>
      <c r="H184" s="6" t="n"/>
      <c r="I184" s="7" t="inlineStr"/>
      <c r="J184" s="8">
        <f>'Project Rules'!$B$5</f>
        <v/>
      </c>
      <c r="K184" s="8">
        <f>'Project Rules'!$B$6</f>
        <v/>
      </c>
      <c r="L184" s="9">
        <f>IF(OR(H184="",I184=""),"",H184-7*I184)</f>
        <v/>
      </c>
      <c r="M184" s="9">
        <f>IF(OR(H184="",I184=""),"",H184-7*(I184+J184+K184))</f>
        <v/>
      </c>
      <c r="N184" s="6" t="n"/>
      <c r="O184" s="6" t="n"/>
      <c r="P184" s="7" t="inlineStr">
        <is>
          <t>Not Started</t>
        </is>
      </c>
      <c r="Q184" s="10">
        <f>IF(OR(M184="",P184="Approved",P184="Approved as Noted"),"",M184-TODAY())</f>
        <v/>
      </c>
      <c r="R184" s="4" t="inlineStr">
        <is>
          <t>Added by Claude</t>
        </is>
      </c>
      <c r="S184" s="11" t="inlineStr">
        <is>
          <t>At completion of Owner instruction</t>
        </is>
      </c>
      <c r="T184" s="4" t="inlineStr">
        <is>
          <t>Contractor shall provide a technician to instruct the Owner's representative for not less than 8 hours. Upon completion, a letter of release is required stating dates of instruction and personnel instructed.</t>
        </is>
      </c>
    </row>
    <row r="185">
      <c r="A185" s="4" t="inlineStr">
        <is>
          <t>220010.04</t>
        </is>
      </c>
      <c r="B185" s="4" t="n">
        <v>0</v>
      </c>
      <c r="C185" s="5" t="inlineStr">
        <is>
          <t>Third-party (NRTL) labeling certification for packaged equipment, as a system for its intended use</t>
        </is>
      </c>
      <c r="D185" s="4" t="inlineStr">
        <is>
          <t>22 00 10</t>
        </is>
      </c>
      <c r="E185" s="5" t="inlineStr">
        <is>
          <t>Basic Plumbing Requirements</t>
        </is>
      </c>
      <c r="F185" s="4" t="inlineStr">
        <is>
          <t>CERT</t>
        </is>
      </c>
      <c r="G185" s="4" t="inlineStr">
        <is>
          <t>1.21.E p.232</t>
        </is>
      </c>
      <c r="H185" s="6" t="n"/>
      <c r="I185" s="7" t="inlineStr"/>
      <c r="J185" s="8">
        <f>'Project Rules'!$B$5</f>
        <v/>
      </c>
      <c r="K185" s="8">
        <f>'Project Rules'!$B$6</f>
        <v/>
      </c>
      <c r="L185" s="9">
        <f>IF(OR(H185="",I185=""),"",H185-7*I185)</f>
        <v/>
      </c>
      <c r="M185" s="9">
        <f>IF(OR(H185="",I185=""),"",H185-7*(I185+J185+K185))</f>
        <v/>
      </c>
      <c r="N185" s="6" t="n"/>
      <c r="O185" s="6" t="n"/>
      <c r="P185" s="7" t="inlineStr">
        <is>
          <t>Not Started</t>
        </is>
      </c>
      <c r="Q185" s="10">
        <f>IF(OR(M185="",P185="Approved",P185="Approved as Noted"),"",M185-TODAY())</f>
        <v/>
      </c>
      <c r="R185" s="4" t="inlineStr">
        <is>
          <t>Spec article</t>
        </is>
      </c>
      <c r="S185" s="11" t="inlineStr">
        <is>
          <t>Applies to packaged equipment only</t>
        </is>
      </c>
      <c r="T185" s="4" t="inlineStr">
        <is>
          <t>THIRD PARTY CERTIFICATION: All Packaged equipment shall be independently Third Party labeled as a system for its intended use by a Nationally Recognized Testing Laboratory (NRTL) in accordance with OSHA Federal Regulations 29CFR1910.303 and .399, as well as NFPA Pamphlet #70, National Electric Code (NEC), Article 90-7.</t>
        </is>
      </c>
    </row>
    <row r="186">
      <c r="A186" s="4" t="inlineStr">
        <is>
          <t>220010.05</t>
        </is>
      </c>
      <c r="B186" s="4" t="n">
        <v>0</v>
      </c>
      <c r="C186" s="5" t="inlineStr">
        <is>
          <t>Record drawings and marked-up specifications (revisions to piping and ductwork, equipment locations, inverts)</t>
        </is>
      </c>
      <c r="D186" s="4" t="inlineStr">
        <is>
          <t>22 00 10</t>
        </is>
      </c>
      <c r="E186" s="5" t="inlineStr">
        <is>
          <t>Basic Plumbing Requirements</t>
        </is>
      </c>
      <c r="F186" s="4" t="inlineStr">
        <is>
          <t>RECORD</t>
        </is>
      </c>
      <c r="G186" s="4" t="inlineStr">
        <is>
          <t>1.23 p.232</t>
        </is>
      </c>
      <c r="H186" s="6" t="n"/>
      <c r="I186" s="7" t="inlineStr"/>
      <c r="J186" s="8">
        <f>'Project Rules'!$B$5</f>
        <v/>
      </c>
      <c r="K186" s="8">
        <f>'Project Rules'!$B$6</f>
        <v/>
      </c>
      <c r="L186" s="9">
        <f>IF(OR(H186="",I186=""),"",H186-7*I186)</f>
        <v/>
      </c>
      <c r="M186" s="9">
        <f>IF(OR(H186="",I186=""),"",H186-7*(I186+J186+K186))</f>
        <v/>
      </c>
      <c r="N186" s="6" t="n"/>
      <c r="O186" s="6" t="n"/>
      <c r="P186" s="7" t="inlineStr">
        <is>
          <t>Not Started</t>
        </is>
      </c>
      <c r="Q186" s="10">
        <f>IF(OR(M186="",P186="Approved",P186="Approved as Noted"),"",M186-TODAY())</f>
        <v/>
      </c>
      <c r="R186" s="4" t="inlineStr">
        <is>
          <t>Added by Claude</t>
        </is>
      </c>
      <c r="S186" s="11" t="inlineStr">
        <is>
          <t>At closeout; see Section 01 77 00 and 01 78 39</t>
        </is>
      </c>
      <c r="T186" s="4" t="inlineStr">
        <is>
          <t>Mark Drawings to indicate revisions to piping and ductwork, actual equipment locations, and actual inverts and locations of underground piping. Mark Specifications to indicate approved substitutions, Change Orders, and actual equipment used.</t>
        </is>
      </c>
    </row>
    <row r="187">
      <c r="A187" s="12" t="inlineStr">
        <is>
          <t>220529.01</t>
        </is>
      </c>
      <c r="B187" s="4" t="n">
        <v>0</v>
      </c>
      <c r="C187" s="13" t="inlineStr">
        <is>
          <t>Submit product data as required under provisions of Division 01 and Section 22 0010.</t>
        </is>
      </c>
      <c r="D187" s="12" t="inlineStr">
        <is>
          <t>22 05 29</t>
        </is>
      </c>
      <c r="E187" s="5" t="inlineStr">
        <is>
          <t>Plumbing Supports And Anchors</t>
        </is>
      </c>
      <c r="F187" s="12" t="inlineStr">
        <is>
          <t>PD</t>
        </is>
      </c>
      <c r="G187" s="12" t="inlineStr">
        <is>
          <t>1.03.A p.240</t>
        </is>
      </c>
      <c r="H187" s="6" t="n"/>
      <c r="I187" s="7" t="inlineStr"/>
      <c r="J187" s="8">
        <f>'Project Rules'!$B$5</f>
        <v/>
      </c>
      <c r="K187" s="8">
        <f>'Project Rules'!$B$6</f>
        <v/>
      </c>
      <c r="L187" s="9">
        <f>IF(OR(H187="",I187=""),"",H187-7*I187)</f>
        <v/>
      </c>
      <c r="M187" s="9">
        <f>IF(OR(H187="",I187=""),"",H187-7*(I187+J187+K187))</f>
        <v/>
      </c>
      <c r="N187" s="6" t="n"/>
      <c r="O187" s="6" t="n"/>
      <c r="P187" s="7" t="inlineStr">
        <is>
          <t>Not Started</t>
        </is>
      </c>
      <c r="Q187" s="10">
        <f>IF(OR(M187="",P187="Approved",P187="Approved as Noted"),"",M187-TODAY())</f>
        <v/>
      </c>
      <c r="R187" s="12" t="inlineStr">
        <is>
          <t>Spec article</t>
        </is>
      </c>
      <c r="S187" s="11" t="inlineStr">
        <is>
          <t>Reads as a cross-reference to Division 01. Likely a duplicate of 1.03.B.</t>
        </is>
      </c>
      <c r="T187" s="4" t="inlineStr">
        <is>
          <t>Submit product data as required under provisions of Division 01 and Section 22 0010.</t>
        </is>
      </c>
    </row>
    <row r="188">
      <c r="A188" s="4" t="inlineStr">
        <is>
          <t>220529.02</t>
        </is>
      </c>
      <c r="B188" s="4" t="n">
        <v>0</v>
      </c>
      <c r="C188" s="5" t="inlineStr">
        <is>
          <t>Product Data: Submit manufacturer's technical product data, including installation instructions for each type of support and anchor.</t>
        </is>
      </c>
      <c r="D188" s="4" t="inlineStr">
        <is>
          <t>22 05 29</t>
        </is>
      </c>
      <c r="E188" s="5" t="inlineStr">
        <is>
          <t>Plumbing Supports And Anchors</t>
        </is>
      </c>
      <c r="F188" s="4" t="inlineStr">
        <is>
          <t>PD</t>
        </is>
      </c>
      <c r="G188" s="4" t="inlineStr">
        <is>
          <t>1.03.B p.240</t>
        </is>
      </c>
      <c r="H188" s="6" t="n"/>
      <c r="I188" s="7" t="inlineStr"/>
      <c r="J188" s="8">
        <f>'Project Rules'!$B$5</f>
        <v/>
      </c>
      <c r="K188" s="8">
        <f>'Project Rules'!$B$6</f>
        <v/>
      </c>
      <c r="L188" s="9">
        <f>IF(OR(H188="",I188=""),"",H188-7*I188)</f>
        <v/>
      </c>
      <c r="M188" s="9">
        <f>IF(OR(H188="",I188=""),"",H188-7*(I188+J188+K188))</f>
        <v/>
      </c>
      <c r="N188" s="6" t="n"/>
      <c r="O188" s="6" t="n"/>
      <c r="P188" s="7" t="inlineStr">
        <is>
          <t>Not Started</t>
        </is>
      </c>
      <c r="Q188" s="10">
        <f>IF(OR(M188="",P188="Approved",P188="Approved as Noted"),"",M188-TODAY())</f>
        <v/>
      </c>
      <c r="R188" s="4" t="inlineStr">
        <is>
          <t>Spec article</t>
        </is>
      </c>
      <c r="S188" s="11" t="inlineStr"/>
      <c r="T188" s="4" t="inlineStr">
        <is>
          <t>Product Data: Submit manufacturer's technical product data, including installation instructions for each type of support and anchor.</t>
        </is>
      </c>
    </row>
    <row r="189">
      <c r="A189" s="4" t="inlineStr">
        <is>
          <t>220553.01</t>
        </is>
      </c>
      <c r="B189" s="4" t="n">
        <v>0</v>
      </c>
      <c r="C189" s="5" t="inlineStr">
        <is>
          <t>Product Data: Submit manufacturer's technical product data and installation instructions for each identification material and device required.</t>
        </is>
      </c>
      <c r="D189" s="4" t="inlineStr">
        <is>
          <t>22 05 53</t>
        </is>
      </c>
      <c r="E189" s="5" t="inlineStr">
        <is>
          <t>Plumbing Identification</t>
        </is>
      </c>
      <c r="F189" s="4" t="inlineStr">
        <is>
          <t>PD</t>
        </is>
      </c>
      <c r="G189" s="4" t="inlineStr">
        <is>
          <t>1.03.A p.246</t>
        </is>
      </c>
      <c r="H189" s="6" t="n"/>
      <c r="I189" s="7" t="inlineStr"/>
      <c r="J189" s="8">
        <f>'Project Rules'!$B$5</f>
        <v/>
      </c>
      <c r="K189" s="8">
        <f>'Project Rules'!$B$6</f>
        <v/>
      </c>
      <c r="L189" s="9">
        <f>IF(OR(H189="",I189=""),"",H189-7*I189)</f>
        <v/>
      </c>
      <c r="M189" s="9">
        <f>IF(OR(H189="",I189=""),"",H189-7*(I189+J189+K189))</f>
        <v/>
      </c>
      <c r="N189" s="6" t="n"/>
      <c r="O189" s="6" t="n"/>
      <c r="P189" s="7" t="inlineStr">
        <is>
          <t>Not Started</t>
        </is>
      </c>
      <c r="Q189" s="10">
        <f>IF(OR(M189="",P189="Approved",P189="Approved as Noted"),"",M189-TODAY())</f>
        <v/>
      </c>
      <c r="R189" s="4" t="inlineStr">
        <is>
          <t>Spec article</t>
        </is>
      </c>
      <c r="S189" s="11" t="inlineStr"/>
      <c r="T189" s="4" t="inlineStr">
        <is>
          <t>Product Data: Submit manufacturer's technical product data and installation instructions for each identification material and device required.</t>
        </is>
      </c>
    </row>
    <row r="190">
      <c r="A190" s="4" t="inlineStr">
        <is>
          <t>220553.02</t>
        </is>
      </c>
      <c r="B190" s="4" t="n">
        <v>0</v>
      </c>
      <c r="C190" s="5" t="inlineStr">
        <is>
          <t>Schedules: Submit valve schedule for each piping system, typewritten and reproduced on 8-1/2 in.</t>
        </is>
      </c>
      <c r="D190" s="4" t="inlineStr">
        <is>
          <t>22 05 53</t>
        </is>
      </c>
      <c r="E190" s="5" t="inlineStr">
        <is>
          <t>Plumbing Identification</t>
        </is>
      </c>
      <c r="F190" s="4" t="inlineStr">
        <is>
          <t>SCHED</t>
        </is>
      </c>
      <c r="G190" s="4" t="inlineStr">
        <is>
          <t>1.03.B p.246</t>
        </is>
      </c>
      <c r="H190" s="6" t="n"/>
      <c r="I190" s="7" t="inlineStr"/>
      <c r="J190" s="8">
        <f>'Project Rules'!$B$5</f>
        <v/>
      </c>
      <c r="K190" s="8">
        <f>'Project Rules'!$B$6</f>
        <v/>
      </c>
      <c r="L190" s="9">
        <f>IF(OR(H190="",I190=""),"",H190-7*I190)</f>
        <v/>
      </c>
      <c r="M190" s="9">
        <f>IF(OR(H190="",I190=""),"",H190-7*(I190+J190+K190))</f>
        <v/>
      </c>
      <c r="N190" s="6" t="n"/>
      <c r="O190" s="6" t="n"/>
      <c r="P190" s="7" t="inlineStr">
        <is>
          <t>Not Started</t>
        </is>
      </c>
      <c r="Q190" s="10">
        <f>IF(OR(M190="",P190="Approved",P190="Approved as Noted"),"",M190-TODAY())</f>
        <v/>
      </c>
      <c r="R190" s="4" t="inlineStr">
        <is>
          <t>Spec article</t>
        </is>
      </c>
      <c r="S190" s="11" t="inlineStr"/>
      <c r="T190" s="4" t="inlineStr">
        <is>
          <t>Schedules: Submit valve schedule for each piping system, typewritten and reproduced on 8-1/2 in. x 11 in. bond paper. Tabulate valve number, piping system, system abbreviation (as shown on tag), location of valve (room or space), and variations for identification (if any). Mark valves which are intended for emergency shut-off and similar special uses, by special "flags", in margin of schedule. In addition to mounted copies, furnish extra copies for Maintenance Manuals as specified in Division 01.</t>
        </is>
      </c>
    </row>
    <row r="191">
      <c r="A191" s="4" t="inlineStr">
        <is>
          <t>220716.01</t>
        </is>
      </c>
      <c r="B191" s="4" t="n">
        <v>0</v>
      </c>
      <c r="C191" s="5" t="inlineStr">
        <is>
          <t>Product Data: Submit manufacturer's technical product data and installation instructions for each type of mechanical insulation.</t>
        </is>
      </c>
      <c r="D191" s="4" t="inlineStr">
        <is>
          <t>22 07 16</t>
        </is>
      </c>
      <c r="E191" s="5" t="inlineStr">
        <is>
          <t>Plumbing Piping Insulation</t>
        </is>
      </c>
      <c r="F191" s="4" t="inlineStr">
        <is>
          <t>PD</t>
        </is>
      </c>
      <c r="G191" s="4" t="inlineStr">
        <is>
          <t>1.03.A p.250</t>
        </is>
      </c>
      <c r="H191" s="6" t="n"/>
      <c r="I191" s="7" t="inlineStr"/>
      <c r="J191" s="8">
        <f>'Project Rules'!$B$5</f>
        <v/>
      </c>
      <c r="K191" s="8">
        <f>'Project Rules'!$B$6</f>
        <v/>
      </c>
      <c r="L191" s="9">
        <f>IF(OR(H191="",I191=""),"",H191-7*I191)</f>
        <v/>
      </c>
      <c r="M191" s="9">
        <f>IF(OR(H191="",I191=""),"",H191-7*(I191+J191+K191))</f>
        <v/>
      </c>
      <c r="N191" s="6" t="n"/>
      <c r="O191" s="6" t="n"/>
      <c r="P191" s="7" t="inlineStr">
        <is>
          <t>Not Started</t>
        </is>
      </c>
      <c r="Q191" s="10">
        <f>IF(OR(M191="",P191="Approved",P191="Approved as Noted"),"",M191-TODAY())</f>
        <v/>
      </c>
      <c r="R191" s="4" t="inlineStr">
        <is>
          <t>Spec article</t>
        </is>
      </c>
      <c r="S191" s="11" t="inlineStr"/>
      <c r="T191" s="4" t="inlineStr">
        <is>
          <t>Product Data: Submit manufacturer's technical product data and installation instructions for each type of mechanical insulation. Submit schedule showing manufacturer's product number, k-value, thickness, and furnished accessories for each mechanical system requiring insulation.</t>
        </is>
      </c>
    </row>
    <row r="192">
      <c r="A192" s="4" t="inlineStr">
        <is>
          <t>221000.01</t>
        </is>
      </c>
      <c r="B192" s="4" t="n">
        <v>0</v>
      </c>
      <c r="C192" s="5" t="inlineStr">
        <is>
          <t>Submit product data on pipe materials, fittings, valves and accessories in accordance with Division 01 and Section 22 0010.</t>
        </is>
      </c>
      <c r="D192" s="4" t="inlineStr">
        <is>
          <t>22 10 00</t>
        </is>
      </c>
      <c r="E192" s="5" t="inlineStr">
        <is>
          <t>Plumbing Piping</t>
        </is>
      </c>
      <c r="F192" s="4" t="inlineStr">
        <is>
          <t>PD</t>
        </is>
      </c>
      <c r="G192" s="4" t="inlineStr">
        <is>
          <t>1.05.A p.254</t>
        </is>
      </c>
      <c r="H192" s="6" t="n"/>
      <c r="I192" s="7" t="inlineStr"/>
      <c r="J192" s="8">
        <f>'Project Rules'!$B$5</f>
        <v/>
      </c>
      <c r="K192" s="8">
        <f>'Project Rules'!$B$6</f>
        <v/>
      </c>
      <c r="L192" s="9">
        <f>IF(OR(H192="",I192=""),"",H192-7*I192)</f>
        <v/>
      </c>
      <c r="M192" s="9">
        <f>IF(OR(H192="",I192=""),"",H192-7*(I192+J192+K192))</f>
        <v/>
      </c>
      <c r="N192" s="6" t="n"/>
      <c r="O192" s="6" t="n"/>
      <c r="P192" s="7" t="inlineStr">
        <is>
          <t>Not Started</t>
        </is>
      </c>
      <c r="Q192" s="10">
        <f>IF(OR(M192="",P192="Approved",P192="Approved as Noted"),"",M192-TODAY())</f>
        <v/>
      </c>
      <c r="R192" s="4" t="inlineStr">
        <is>
          <t>Spec article</t>
        </is>
      </c>
      <c r="S192" s="11" t="inlineStr"/>
      <c r="T192" s="4" t="inlineStr">
        <is>
          <t>Submit product data on pipe materials, fittings, valves and accessories in accordance with Division 01 and Section 22 0010.</t>
        </is>
      </c>
    </row>
    <row r="193">
      <c r="A193" s="4" t="inlineStr">
        <is>
          <t>221000.02</t>
        </is>
      </c>
      <c r="B193" s="4" t="n">
        <v>0</v>
      </c>
      <c r="C193" s="5" t="inlineStr">
        <is>
          <t>Submit shop drawings and piping layout in accordance with Division 01 and Section 22 0010.</t>
        </is>
      </c>
      <c r="D193" s="4" t="inlineStr">
        <is>
          <t>22 10 00</t>
        </is>
      </c>
      <c r="E193" s="5" t="inlineStr">
        <is>
          <t>Plumbing Piping</t>
        </is>
      </c>
      <c r="F193" s="4" t="inlineStr">
        <is>
          <t>SD</t>
        </is>
      </c>
      <c r="G193" s="4" t="inlineStr">
        <is>
          <t>1.05.B p.254</t>
        </is>
      </c>
      <c r="H193" s="6" t="n"/>
      <c r="I193" s="7" t="inlineStr"/>
      <c r="J193" s="8">
        <f>'Project Rules'!$B$5</f>
        <v/>
      </c>
      <c r="K193" s="8">
        <f>'Project Rules'!$B$6</f>
        <v/>
      </c>
      <c r="L193" s="9">
        <f>IF(OR(H193="",I193=""),"",H193-7*I193)</f>
        <v/>
      </c>
      <c r="M193" s="9">
        <f>IF(OR(H193="",I193=""),"",H193-7*(I193+J193+K193))</f>
        <v/>
      </c>
      <c r="N193" s="6" t="n"/>
      <c r="O193" s="6" t="n"/>
      <c r="P193" s="7" t="inlineStr">
        <is>
          <t>Not Started</t>
        </is>
      </c>
      <c r="Q193" s="10">
        <f>IF(OR(M193="",P193="Approved",P193="Approved as Noted"),"",M193-TODAY())</f>
        <v/>
      </c>
      <c r="R193" s="4" t="inlineStr">
        <is>
          <t>Spec article</t>
        </is>
      </c>
      <c r="S193" s="11" t="inlineStr"/>
      <c r="T193" s="4" t="inlineStr">
        <is>
          <t>Submit shop drawings and piping layout in accordance with Division 01 and Section 22 0010.</t>
        </is>
      </c>
    </row>
    <row r="194">
      <c r="A194" s="4" t="inlineStr">
        <is>
          <t>221000.03</t>
        </is>
      </c>
      <c r="B194" s="4" t="n">
        <v>0</v>
      </c>
      <c r="C194" s="5" t="inlineStr">
        <is>
          <t>Test Certificates of Approval for Piping Systems.</t>
        </is>
      </c>
      <c r="D194" s="4" t="inlineStr">
        <is>
          <t>22 10 00</t>
        </is>
      </c>
      <c r="E194" s="5" t="inlineStr">
        <is>
          <t>Plumbing Piping</t>
        </is>
      </c>
      <c r="F194" s="4" t="inlineStr">
        <is>
          <t>CERT</t>
        </is>
      </c>
      <c r="G194" s="4" t="inlineStr">
        <is>
          <t>1.05.C.1 p.254</t>
        </is>
      </c>
      <c r="H194" s="6" t="n"/>
      <c r="I194" s="7" t="inlineStr"/>
      <c r="J194" s="8">
        <f>'Project Rules'!$B$5</f>
        <v/>
      </c>
      <c r="K194" s="8">
        <f>'Project Rules'!$B$6</f>
        <v/>
      </c>
      <c r="L194" s="9">
        <f>IF(OR(H194="",I194=""),"",H194-7*I194)</f>
        <v/>
      </c>
      <c r="M194" s="9">
        <f>IF(OR(H194="",I194=""),"",H194-7*(I194+J194+K194))</f>
        <v/>
      </c>
      <c r="N194" s="6" t="n"/>
      <c r="O194" s="6" t="n"/>
      <c r="P194" s="7" t="inlineStr">
        <is>
          <t>Not Started</t>
        </is>
      </c>
      <c r="Q194" s="10">
        <f>IF(OR(M194="",P194="Approved",P194="Approved as Noted"),"",M194-TODAY())</f>
        <v/>
      </c>
      <c r="R194" s="4" t="inlineStr">
        <is>
          <t>Spec article</t>
        </is>
      </c>
      <c r="S194" s="11" t="inlineStr"/>
      <c r="T194" s="4" t="inlineStr">
        <is>
          <t>Test Certificates of Approval for Piping Systems.</t>
        </is>
      </c>
    </row>
    <row r="195">
      <c r="A195" s="4" t="inlineStr">
        <is>
          <t>221000.04</t>
        </is>
      </c>
      <c r="B195" s="4" t="n">
        <v>0</v>
      </c>
      <c r="C195" s="5" t="inlineStr">
        <is>
          <t>Flushing Certificates of Approval for Piping Systems.</t>
        </is>
      </c>
      <c r="D195" s="4" t="inlineStr">
        <is>
          <t>22 10 00</t>
        </is>
      </c>
      <c r="E195" s="5" t="inlineStr">
        <is>
          <t>Plumbing Piping</t>
        </is>
      </c>
      <c r="F195" s="4" t="inlineStr">
        <is>
          <t>CERT</t>
        </is>
      </c>
      <c r="G195" s="4" t="inlineStr">
        <is>
          <t>1.05.C.2 p.254</t>
        </is>
      </c>
      <c r="H195" s="6" t="n"/>
      <c r="I195" s="7" t="inlineStr"/>
      <c r="J195" s="8">
        <f>'Project Rules'!$B$5</f>
        <v/>
      </c>
      <c r="K195" s="8">
        <f>'Project Rules'!$B$6</f>
        <v/>
      </c>
      <c r="L195" s="9">
        <f>IF(OR(H195="",I195=""),"",H195-7*I195)</f>
        <v/>
      </c>
      <c r="M195" s="9">
        <f>IF(OR(H195="",I195=""),"",H195-7*(I195+J195+K195))</f>
        <v/>
      </c>
      <c r="N195" s="6" t="n"/>
      <c r="O195" s="6" t="n"/>
      <c r="P195" s="7" t="inlineStr">
        <is>
          <t>Not Started</t>
        </is>
      </c>
      <c r="Q195" s="10">
        <f>IF(OR(M195="",P195="Approved",P195="Approved as Noted"),"",M195-TODAY())</f>
        <v/>
      </c>
      <c r="R195" s="4" t="inlineStr">
        <is>
          <t>Spec article</t>
        </is>
      </c>
      <c r="S195" s="11" t="inlineStr"/>
      <c r="T195" s="4" t="inlineStr">
        <is>
          <t>Flushing Certificates of Approval for Piping Systems.</t>
        </is>
      </c>
    </row>
    <row r="196">
      <c r="A196" s="4" t="inlineStr">
        <is>
          <t>221000.05</t>
        </is>
      </c>
      <c r="B196" s="4" t="n">
        <v>0</v>
      </c>
      <c r="C196" s="5" t="inlineStr">
        <is>
          <t>Disinfection Certificates of Approval for Domestic Water Piping Systems.</t>
        </is>
      </c>
      <c r="D196" s="4" t="inlineStr">
        <is>
          <t>22 10 00</t>
        </is>
      </c>
      <c r="E196" s="5" t="inlineStr">
        <is>
          <t>Plumbing Piping</t>
        </is>
      </c>
      <c r="F196" s="4" t="inlineStr">
        <is>
          <t>CERT</t>
        </is>
      </c>
      <c r="G196" s="4" t="inlineStr">
        <is>
          <t>1.05.C.3 p.254</t>
        </is>
      </c>
      <c r="H196" s="6" t="n"/>
      <c r="I196" s="7" t="inlineStr"/>
      <c r="J196" s="8">
        <f>'Project Rules'!$B$5</f>
        <v/>
      </c>
      <c r="K196" s="8">
        <f>'Project Rules'!$B$6</f>
        <v/>
      </c>
      <c r="L196" s="9">
        <f>IF(OR(H196="",I196=""),"",H196-7*I196)</f>
        <v/>
      </c>
      <c r="M196" s="9">
        <f>IF(OR(H196="",I196=""),"",H196-7*(I196+J196+K196))</f>
        <v/>
      </c>
      <c r="N196" s="6" t="n"/>
      <c r="O196" s="6" t="n"/>
      <c r="P196" s="7" t="inlineStr">
        <is>
          <t>Not Started</t>
        </is>
      </c>
      <c r="Q196" s="10">
        <f>IF(OR(M196="",P196="Approved",P196="Approved as Noted"),"",M196-TODAY())</f>
        <v/>
      </c>
      <c r="R196" s="4" t="inlineStr">
        <is>
          <t>Spec article</t>
        </is>
      </c>
      <c r="S196" s="11" t="inlineStr"/>
      <c r="T196" s="4" t="inlineStr">
        <is>
          <t>Disinfection Certificates of Approval for Domestic Water Piping Systems.</t>
        </is>
      </c>
    </row>
    <row r="197">
      <c r="A197" s="4" t="inlineStr">
        <is>
          <t>221001.01</t>
        </is>
      </c>
      <c r="B197" s="4" t="n">
        <v>0</v>
      </c>
      <c r="C197" s="5" t="inlineStr">
        <is>
          <t>Submit product data in accordance with Division 01 and Section 23 0010.</t>
        </is>
      </c>
      <c r="D197" s="4" t="inlineStr">
        <is>
          <t>22 10 01</t>
        </is>
      </c>
      <c r="E197" s="5" t="inlineStr">
        <is>
          <t>Plumbing Specialties</t>
        </is>
      </c>
      <c r="F197" s="4" t="inlineStr">
        <is>
          <t>PD</t>
        </is>
      </c>
      <c r="G197" s="4" t="inlineStr">
        <is>
          <t>1.05.A p.259</t>
        </is>
      </c>
      <c r="H197" s="6" t="n"/>
      <c r="I197" s="7" t="inlineStr"/>
      <c r="J197" s="8">
        <f>'Project Rules'!$B$5</f>
        <v/>
      </c>
      <c r="K197" s="8">
        <f>'Project Rules'!$B$6</f>
        <v/>
      </c>
      <c r="L197" s="9">
        <f>IF(OR(H197="",I197=""),"",H197-7*I197)</f>
        <v/>
      </c>
      <c r="M197" s="9">
        <f>IF(OR(H197="",I197=""),"",H197-7*(I197+J197+K197))</f>
        <v/>
      </c>
      <c r="N197" s="6" t="n"/>
      <c r="O197" s="6" t="n"/>
      <c r="P197" s="7" t="inlineStr">
        <is>
          <t>Not Started</t>
        </is>
      </c>
      <c r="Q197" s="10">
        <f>IF(OR(M197="",P197="Approved",P197="Approved as Noted"),"",M197-TODAY())</f>
        <v/>
      </c>
      <c r="R197" s="4" t="inlineStr">
        <is>
          <t>Spec article</t>
        </is>
      </c>
      <c r="S197" s="11" t="inlineStr"/>
      <c r="T197" s="4" t="inlineStr">
        <is>
          <t>Submit product data in accordance with Division 01 and Section 23 0010.</t>
        </is>
      </c>
    </row>
    <row r="198">
      <c r="A198" s="4" t="inlineStr">
        <is>
          <t>221001.02</t>
        </is>
      </c>
      <c r="B198" s="4" t="n">
        <v>0</v>
      </c>
      <c r="C198" s="5" t="inlineStr">
        <is>
          <t>Certificate of Approval - First Heat Tracing System Megohmeter Test.</t>
        </is>
      </c>
      <c r="D198" s="4" t="inlineStr">
        <is>
          <t>22 10 01</t>
        </is>
      </c>
      <c r="E198" s="5" t="inlineStr">
        <is>
          <t>Plumbing Specialties</t>
        </is>
      </c>
      <c r="F198" s="4" t="inlineStr">
        <is>
          <t>CERT</t>
        </is>
      </c>
      <c r="G198" s="4" t="inlineStr">
        <is>
          <t>1.05.C.1 p.259</t>
        </is>
      </c>
      <c r="H198" s="6" t="n"/>
      <c r="I198" s="7" t="inlineStr"/>
      <c r="J198" s="8">
        <f>'Project Rules'!$B$5</f>
        <v/>
      </c>
      <c r="K198" s="8">
        <f>'Project Rules'!$B$6</f>
        <v/>
      </c>
      <c r="L198" s="9">
        <f>IF(OR(H198="",I198=""),"",H198-7*I198)</f>
        <v/>
      </c>
      <c r="M198" s="9">
        <f>IF(OR(H198="",I198=""),"",H198-7*(I198+J198+K198))</f>
        <v/>
      </c>
      <c r="N198" s="6" t="n"/>
      <c r="O198" s="6" t="n"/>
      <c r="P198" s="7" t="inlineStr">
        <is>
          <t>Not Started</t>
        </is>
      </c>
      <c r="Q198" s="10">
        <f>IF(OR(M198="",P198="Approved",P198="Approved as Noted"),"",M198-TODAY())</f>
        <v/>
      </c>
      <c r="R198" s="4" t="inlineStr">
        <is>
          <t>Spec article</t>
        </is>
      </c>
      <c r="S198" s="11" t="inlineStr"/>
      <c r="T198" s="4" t="inlineStr">
        <is>
          <t>Certificate of Approval - First Heat Tracing System Megohmeter Test.</t>
        </is>
      </c>
    </row>
    <row r="199">
      <c r="A199" s="4" t="inlineStr">
        <is>
          <t>221001.03</t>
        </is>
      </c>
      <c r="B199" s="4" t="n">
        <v>0</v>
      </c>
      <c r="C199" s="5" t="inlineStr">
        <is>
          <t>Certificate of Approval - Second Heat Tracing System Megohmeter Test.</t>
        </is>
      </c>
      <c r="D199" s="4" t="inlineStr">
        <is>
          <t>22 10 01</t>
        </is>
      </c>
      <c r="E199" s="5" t="inlineStr">
        <is>
          <t>Plumbing Specialties</t>
        </is>
      </c>
      <c r="F199" s="4" t="inlineStr">
        <is>
          <t>CERT</t>
        </is>
      </c>
      <c r="G199" s="4" t="inlineStr">
        <is>
          <t>1.05.C.2 p.259</t>
        </is>
      </c>
      <c r="H199" s="6" t="n"/>
      <c r="I199" s="7" t="inlineStr"/>
      <c r="J199" s="8">
        <f>'Project Rules'!$B$5</f>
        <v/>
      </c>
      <c r="K199" s="8">
        <f>'Project Rules'!$B$6</f>
        <v/>
      </c>
      <c r="L199" s="9">
        <f>IF(OR(H199="",I199=""),"",H199-7*I199)</f>
        <v/>
      </c>
      <c r="M199" s="9">
        <f>IF(OR(H199="",I199=""),"",H199-7*(I199+J199+K199))</f>
        <v/>
      </c>
      <c r="N199" s="6" t="n"/>
      <c r="O199" s="6" t="n"/>
      <c r="P199" s="7" t="inlineStr">
        <is>
          <t>Not Started</t>
        </is>
      </c>
      <c r="Q199" s="10">
        <f>IF(OR(M199="",P199="Approved",P199="Approved as Noted"),"",M199-TODAY())</f>
        <v/>
      </c>
      <c r="R199" s="4" t="inlineStr">
        <is>
          <t>Spec article</t>
        </is>
      </c>
      <c r="S199" s="11" t="inlineStr"/>
      <c r="T199" s="4" t="inlineStr">
        <is>
          <t>Certificate of Approval - Second Heat Tracing System Megohmeter Test.</t>
        </is>
      </c>
    </row>
    <row r="200">
      <c r="A200" s="4" t="inlineStr">
        <is>
          <t>221001.04</t>
        </is>
      </c>
      <c r="B200" s="4" t="n">
        <v>0</v>
      </c>
      <c r="C200" s="5" t="inlineStr">
        <is>
          <t>Certificates of Approval - Backflow Preventers.</t>
        </is>
      </c>
      <c r="D200" s="4" t="inlineStr">
        <is>
          <t>22 10 01</t>
        </is>
      </c>
      <c r="E200" s="5" t="inlineStr">
        <is>
          <t>Plumbing Specialties</t>
        </is>
      </c>
      <c r="F200" s="4" t="inlineStr">
        <is>
          <t>CERT</t>
        </is>
      </c>
      <c r="G200" s="4" t="inlineStr">
        <is>
          <t>1.05.C.3 p.259</t>
        </is>
      </c>
      <c r="H200" s="6" t="n"/>
      <c r="I200" s="7" t="inlineStr"/>
      <c r="J200" s="8">
        <f>'Project Rules'!$B$5</f>
        <v/>
      </c>
      <c r="K200" s="8">
        <f>'Project Rules'!$B$6</f>
        <v/>
      </c>
      <c r="L200" s="9">
        <f>IF(OR(H200="",I200=""),"",H200-7*I200)</f>
        <v/>
      </c>
      <c r="M200" s="9">
        <f>IF(OR(H200="",I200=""),"",H200-7*(I200+J200+K200))</f>
        <v/>
      </c>
      <c r="N200" s="6" t="n"/>
      <c r="O200" s="6" t="n"/>
      <c r="P200" s="7" t="inlineStr">
        <is>
          <t>Not Started</t>
        </is>
      </c>
      <c r="Q200" s="10">
        <f>IF(OR(M200="",P200="Approved",P200="Approved as Noted"),"",M200-TODAY())</f>
        <v/>
      </c>
      <c r="R200" s="4" t="inlineStr">
        <is>
          <t>Spec article</t>
        </is>
      </c>
      <c r="S200" s="11" t="inlineStr"/>
      <c r="T200" s="4" t="inlineStr">
        <is>
          <t>Certificates of Approval - Backflow Preventers.</t>
        </is>
      </c>
    </row>
    <row r="201">
      <c r="A201" s="4" t="inlineStr">
        <is>
          <t>221119.01</t>
        </is>
      </c>
      <c r="B201" s="4" t="n">
        <v>0</v>
      </c>
      <c r="C201" s="5" t="inlineStr">
        <is>
          <t>Product Data: Submit manufacturer's technical product data, including installation instructions, and dimensioned Drawings for each type of manufactured piping specialty.</t>
        </is>
      </c>
      <c r="D201" s="4" t="inlineStr">
        <is>
          <t>22 11 19</t>
        </is>
      </c>
      <c r="E201" s="5" t="inlineStr">
        <is>
          <t>Piping Specialties</t>
        </is>
      </c>
      <c r="F201" s="4" t="inlineStr">
        <is>
          <t>PD+SD</t>
        </is>
      </c>
      <c r="G201" s="4" t="inlineStr">
        <is>
          <t>1.03.A p.263</t>
        </is>
      </c>
      <c r="H201" s="6" t="n"/>
      <c r="I201" s="7" t="inlineStr"/>
      <c r="J201" s="8">
        <f>'Project Rules'!$B$5</f>
        <v/>
      </c>
      <c r="K201" s="8">
        <f>'Project Rules'!$B$6</f>
        <v/>
      </c>
      <c r="L201" s="9">
        <f>IF(OR(H201="",I201=""),"",H201-7*I201)</f>
        <v/>
      </c>
      <c r="M201" s="9">
        <f>IF(OR(H201="",I201=""),"",H201-7*(I201+J201+K201))</f>
        <v/>
      </c>
      <c r="N201" s="6" t="n"/>
      <c r="O201" s="6" t="n"/>
      <c r="P201" s="7" t="inlineStr">
        <is>
          <t>Not Started</t>
        </is>
      </c>
      <c r="Q201" s="10">
        <f>IF(OR(M201="",P201="Approved",P201="Approved as Noted"),"",M201-TODAY())</f>
        <v/>
      </c>
      <c r="R201" s="4" t="inlineStr">
        <is>
          <t>Spec article</t>
        </is>
      </c>
      <c r="S201" s="11" t="inlineStr"/>
      <c r="T201" s="4" t="inlineStr">
        <is>
          <t>Product Data: Submit manufacturer's technical product data, including installation instructions, and dimensioned Drawings for each type of manufactured piping specialty. Include pressure drop curve or chart for each type and size of pipeline strainer. Submit schedule showing manufacturer's figure number, size, location, and features for each required piping specialty.</t>
        </is>
      </c>
    </row>
    <row r="202">
      <c r="A202" s="4" t="inlineStr">
        <is>
          <t>224001.01</t>
        </is>
      </c>
      <c r="B202" s="4" t="n">
        <v>0</v>
      </c>
      <c r="C202" s="5" t="inlineStr">
        <is>
          <t>Submit product data in accordance with Division 01 and Section 22 0010.</t>
        </is>
      </c>
      <c r="D202" s="4" t="inlineStr">
        <is>
          <t>22 40 01</t>
        </is>
      </c>
      <c r="E202" s="5" t="inlineStr">
        <is>
          <t>Plumbing Fixtures</t>
        </is>
      </c>
      <c r="F202" s="4" t="inlineStr">
        <is>
          <t>PD</t>
        </is>
      </c>
      <c r="G202" s="4" t="inlineStr">
        <is>
          <t>1.05.A p.266</t>
        </is>
      </c>
      <c r="H202" s="6" t="n"/>
      <c r="I202" s="7" t="inlineStr"/>
      <c r="J202" s="8">
        <f>'Project Rules'!$B$5</f>
        <v/>
      </c>
      <c r="K202" s="8">
        <f>'Project Rules'!$B$6</f>
        <v/>
      </c>
      <c r="L202" s="9">
        <f>IF(OR(H202="",I202=""),"",H202-7*I202)</f>
        <v/>
      </c>
      <c r="M202" s="9">
        <f>IF(OR(H202="",I202=""),"",H202-7*(I202+J202+K202))</f>
        <v/>
      </c>
      <c r="N202" s="6" t="n"/>
      <c r="O202" s="6" t="n"/>
      <c r="P202" s="7" t="inlineStr">
        <is>
          <t>Not Started</t>
        </is>
      </c>
      <c r="Q202" s="10">
        <f>IF(OR(M202="",P202="Approved",P202="Approved as Noted"),"",M202-TODAY())</f>
        <v/>
      </c>
      <c r="R202" s="4" t="inlineStr">
        <is>
          <t>Spec article</t>
        </is>
      </c>
      <c r="S202" s="11" t="inlineStr"/>
      <c r="T202" s="4" t="inlineStr">
        <is>
          <t>Submit product data in accordance with Division 01 and Section 22 0010.</t>
        </is>
      </c>
    </row>
    <row r="203">
      <c r="A203" s="4" t="inlineStr">
        <is>
          <t>226000.01</t>
        </is>
      </c>
      <c r="B203" s="4" t="n">
        <v>0</v>
      </c>
      <c r="C203" s="5" t="inlineStr">
        <is>
          <t>Submit manufacturer's product data on piping and valves specified herein as outlined under the provisions of Division 01 and Section 22 0010.</t>
        </is>
      </c>
      <c r="D203" s="4" t="inlineStr">
        <is>
          <t>22 60 00</t>
        </is>
      </c>
      <c r="E203" s="5" t="inlineStr">
        <is>
          <t>Medical Piping</t>
        </is>
      </c>
      <c r="F203" s="4" t="inlineStr">
        <is>
          <t>PD</t>
        </is>
      </c>
      <c r="G203" s="4" t="inlineStr">
        <is>
          <t>1.05.A p.269</t>
        </is>
      </c>
      <c r="H203" s="6" t="n"/>
      <c r="I203" s="7" t="inlineStr"/>
      <c r="J203" s="8">
        <f>'Project Rules'!$B$5</f>
        <v/>
      </c>
      <c r="K203" s="8">
        <f>'Project Rules'!$B$6</f>
        <v/>
      </c>
      <c r="L203" s="9">
        <f>IF(OR(H203="",I203=""),"",H203-7*I203)</f>
        <v/>
      </c>
      <c r="M203" s="9">
        <f>IF(OR(H203="",I203=""),"",H203-7*(I203+J203+K203))</f>
        <v/>
      </c>
      <c r="N203" s="6" t="n"/>
      <c r="O203" s="6" t="n"/>
      <c r="P203" s="7" t="inlineStr">
        <is>
          <t>Not Started</t>
        </is>
      </c>
      <c r="Q203" s="10">
        <f>IF(OR(M203="",P203="Approved",P203="Approved as Noted"),"",M203-TODAY())</f>
        <v/>
      </c>
      <c r="R203" s="4" t="inlineStr">
        <is>
          <t>Spec article</t>
        </is>
      </c>
      <c r="S203" s="11" t="inlineStr"/>
      <c r="T203" s="4" t="inlineStr">
        <is>
          <t>Submit manufacturer's product data on piping and valves specified herein as outlined under the provisions of Division 01 and Section 22 0010.</t>
        </is>
      </c>
    </row>
    <row r="204">
      <c r="A204" s="4" t="inlineStr">
        <is>
          <t>226000.02</t>
        </is>
      </c>
      <c r="B204" s="4" t="n">
        <v>0</v>
      </c>
      <c r="C204" s="5" t="inlineStr">
        <is>
          <t>Certification of Cross Connection Testing and Labeling Verification from a “Licensed Medical Gas Certification Contractor”.</t>
        </is>
      </c>
      <c r="D204" s="4" t="inlineStr">
        <is>
          <t>22 60 00</t>
        </is>
      </c>
      <c r="E204" s="5" t="inlineStr">
        <is>
          <t>Medical Piping</t>
        </is>
      </c>
      <c r="F204" s="4" t="inlineStr">
        <is>
          <t>CERT</t>
        </is>
      </c>
      <c r="G204" s="4" t="inlineStr">
        <is>
          <t>1.05.C.1 p.269</t>
        </is>
      </c>
      <c r="H204" s="6" t="n"/>
      <c r="I204" s="7" t="inlineStr"/>
      <c r="J204" s="8">
        <f>'Project Rules'!$B$5</f>
        <v/>
      </c>
      <c r="K204" s="8">
        <f>'Project Rules'!$B$6</f>
        <v/>
      </c>
      <c r="L204" s="9">
        <f>IF(OR(H204="",I204=""),"",H204-7*I204)</f>
        <v/>
      </c>
      <c r="M204" s="9">
        <f>IF(OR(H204="",I204=""),"",H204-7*(I204+J204+K204))</f>
        <v/>
      </c>
      <c r="N204" s="6" t="n"/>
      <c r="O204" s="6" t="n"/>
      <c r="P204" s="7" t="inlineStr">
        <is>
          <t>Not Started</t>
        </is>
      </c>
      <c r="Q204" s="10">
        <f>IF(OR(M204="",P204="Approved",P204="Approved as Noted"),"",M204-TODAY())</f>
        <v/>
      </c>
      <c r="R204" s="4" t="inlineStr">
        <is>
          <t>Spec article</t>
        </is>
      </c>
      <c r="S204" s="11" t="inlineStr"/>
      <c r="T204" s="4" t="inlineStr">
        <is>
          <t>Certification of Cross Connection Testing and Labeling Verification from a “Licensed Medical Gas Certification Contractor”.</t>
        </is>
      </c>
    </row>
    <row r="205">
      <c r="A205" s="4" t="inlineStr">
        <is>
          <t>226000.03</t>
        </is>
      </c>
      <c r="B205" s="4" t="n">
        <v>0</v>
      </c>
      <c r="C205" s="5" t="inlineStr">
        <is>
          <t>Certification of Leakage Testing, Purging, Piping Labeling and Delivery Pressures.</t>
        </is>
      </c>
      <c r="D205" s="4" t="inlineStr">
        <is>
          <t>22 60 00</t>
        </is>
      </c>
      <c r="E205" s="5" t="inlineStr">
        <is>
          <t>Medical Piping</t>
        </is>
      </c>
      <c r="F205" s="4" t="inlineStr">
        <is>
          <t>CERT</t>
        </is>
      </c>
      <c r="G205" s="4" t="inlineStr">
        <is>
          <t>1.05.C.2 p.269</t>
        </is>
      </c>
      <c r="H205" s="6" t="n"/>
      <c r="I205" s="7" t="inlineStr"/>
      <c r="J205" s="8">
        <f>'Project Rules'!$B$5</f>
        <v/>
      </c>
      <c r="K205" s="8">
        <f>'Project Rules'!$B$6</f>
        <v/>
      </c>
      <c r="L205" s="9">
        <f>IF(OR(H205="",I205=""),"",H205-7*I205)</f>
        <v/>
      </c>
      <c r="M205" s="9">
        <f>IF(OR(H205="",I205=""),"",H205-7*(I205+J205+K205))</f>
        <v/>
      </c>
      <c r="N205" s="6" t="n"/>
      <c r="O205" s="6" t="n"/>
      <c r="P205" s="7" t="inlineStr">
        <is>
          <t>Not Started</t>
        </is>
      </c>
      <c r="Q205" s="10">
        <f>IF(OR(M205="",P205="Approved",P205="Approved as Noted"),"",M205-TODAY())</f>
        <v/>
      </c>
      <c r="R205" s="4" t="inlineStr">
        <is>
          <t>Spec article</t>
        </is>
      </c>
      <c r="S205" s="11" t="inlineStr"/>
      <c r="T205" s="4" t="inlineStr">
        <is>
          <t>Certification of Leakage Testing, Purging, Piping Labeling and Delivery Pressures.</t>
        </is>
      </c>
    </row>
    <row r="206">
      <c r="A206" s="4" t="inlineStr">
        <is>
          <t>226000.04</t>
        </is>
      </c>
      <c r="B206" s="4" t="n">
        <v>0</v>
      </c>
      <c r="C206" s="5" t="inlineStr">
        <is>
          <t>The Brazing Procedure Specification and the supporting Qualification Records per NFPA current edition.</t>
        </is>
      </c>
      <c r="D206" s="4" t="inlineStr">
        <is>
          <t>22 60 00</t>
        </is>
      </c>
      <c r="E206" s="5" t="inlineStr">
        <is>
          <t>Medical Piping</t>
        </is>
      </c>
      <c r="F206" s="4" t="inlineStr">
        <is>
          <t>CERT</t>
        </is>
      </c>
      <c r="G206" s="4" t="inlineStr">
        <is>
          <t>1.05.C.3 p.269</t>
        </is>
      </c>
      <c r="H206" s="6" t="n"/>
      <c r="I206" s="7" t="inlineStr"/>
      <c r="J206" s="8">
        <f>'Project Rules'!$B$5</f>
        <v/>
      </c>
      <c r="K206" s="8">
        <f>'Project Rules'!$B$6</f>
        <v/>
      </c>
      <c r="L206" s="9">
        <f>IF(OR(H206="",I206=""),"",H206-7*I206)</f>
        <v/>
      </c>
      <c r="M206" s="9">
        <f>IF(OR(H206="",I206=""),"",H206-7*(I206+J206+K206))</f>
        <v/>
      </c>
      <c r="N206" s="6" t="n"/>
      <c r="O206" s="6" t="n"/>
      <c r="P206" s="7" t="inlineStr">
        <is>
          <t>Not Started</t>
        </is>
      </c>
      <c r="Q206" s="10">
        <f>IF(OR(M206="",P206="Approved",P206="Approved as Noted"),"",M206-TODAY())</f>
        <v/>
      </c>
      <c r="R206" s="4" t="inlineStr">
        <is>
          <t>Spec article</t>
        </is>
      </c>
      <c r="S206" s="11" t="inlineStr"/>
      <c r="T206" s="4" t="inlineStr">
        <is>
          <t>The Brazing Procedure Specification and the supporting Qualification Records per NFPA current edition.</t>
        </is>
      </c>
    </row>
    <row r="207">
      <c r="A207" s="4" t="inlineStr">
        <is>
          <t>226001.01</t>
        </is>
      </c>
      <c r="B207" s="4" t="n">
        <v>0</v>
      </c>
      <c r="C207" s="5" t="inlineStr">
        <is>
          <t>Submit manufacturer's product data, including wiring and piping diagrams, on all medical equipment specified herein as outlined under the provisions of Division 01 and...</t>
        </is>
      </c>
      <c r="D207" s="4" t="inlineStr">
        <is>
          <t>22 60 01</t>
        </is>
      </c>
      <c r="E207" s="5" t="inlineStr">
        <is>
          <t>Medical Equipment</t>
        </is>
      </c>
      <c r="F207" s="4" t="inlineStr">
        <is>
          <t>PD</t>
        </is>
      </c>
      <c r="G207" s="4" t="inlineStr">
        <is>
          <t>1.05.A p.273</t>
        </is>
      </c>
      <c r="H207" s="6" t="n"/>
      <c r="I207" s="7" t="inlineStr"/>
      <c r="J207" s="8">
        <f>'Project Rules'!$B$5</f>
        <v/>
      </c>
      <c r="K207" s="8">
        <f>'Project Rules'!$B$6</f>
        <v/>
      </c>
      <c r="L207" s="9">
        <f>IF(OR(H207="",I207=""),"",H207-7*I207)</f>
        <v/>
      </c>
      <c r="M207" s="9">
        <f>IF(OR(H207="",I207=""),"",H207-7*(I207+J207+K207))</f>
        <v/>
      </c>
      <c r="N207" s="6" t="n"/>
      <c r="O207" s="6" t="n"/>
      <c r="P207" s="7" t="inlineStr">
        <is>
          <t>Not Started</t>
        </is>
      </c>
      <c r="Q207" s="10">
        <f>IF(OR(M207="",P207="Approved",P207="Approved as Noted"),"",M207-TODAY())</f>
        <v/>
      </c>
      <c r="R207" s="4" t="inlineStr">
        <is>
          <t>Spec article</t>
        </is>
      </c>
      <c r="S207" s="11" t="inlineStr"/>
      <c r="T207" s="4" t="inlineStr">
        <is>
          <t>Submit manufacturer's product data, including wiring and piping diagrams, on all medical equipment specified herein as outlined under the provisions of Division 01 and Section 22 0010.</t>
        </is>
      </c>
    </row>
    <row r="208">
      <c r="A208" s="4" t="inlineStr">
        <is>
          <t>226001.02</t>
        </is>
      </c>
      <c r="B208" s="4" t="n">
        <v>0</v>
      </c>
      <c r="C208" s="5" t="inlineStr">
        <is>
          <t>Certification of Equipment Operation and Labeling Verification from State Licensed Certifier.</t>
        </is>
      </c>
      <c r="D208" s="4" t="inlineStr">
        <is>
          <t>22 60 01</t>
        </is>
      </c>
      <c r="E208" s="5" t="inlineStr">
        <is>
          <t>Medical Equipment</t>
        </is>
      </c>
      <c r="F208" s="4" t="inlineStr">
        <is>
          <t>CERT</t>
        </is>
      </c>
      <c r="G208" s="4" t="inlineStr">
        <is>
          <t>1.05.B.1 p.273</t>
        </is>
      </c>
      <c r="H208" s="6" t="n"/>
      <c r="I208" s="7" t="inlineStr"/>
      <c r="J208" s="8">
        <f>'Project Rules'!$B$5</f>
        <v/>
      </c>
      <c r="K208" s="8">
        <f>'Project Rules'!$B$6</f>
        <v/>
      </c>
      <c r="L208" s="9">
        <f>IF(OR(H208="",I208=""),"",H208-7*I208)</f>
        <v/>
      </c>
      <c r="M208" s="9">
        <f>IF(OR(H208="",I208=""),"",H208-7*(I208+J208+K208))</f>
        <v/>
      </c>
      <c r="N208" s="6" t="n"/>
      <c r="O208" s="6" t="n"/>
      <c r="P208" s="7" t="inlineStr">
        <is>
          <t>Not Started</t>
        </is>
      </c>
      <c r="Q208" s="10">
        <f>IF(OR(M208="",P208="Approved",P208="Approved as Noted"),"",M208-TODAY())</f>
        <v/>
      </c>
      <c r="R208" s="4" t="inlineStr">
        <is>
          <t>Spec article</t>
        </is>
      </c>
      <c r="S208" s="11" t="inlineStr"/>
      <c r="T208" s="4" t="inlineStr">
        <is>
          <t>Certification of Equipment Operation and Labeling Verification from State Licensed Certifier.</t>
        </is>
      </c>
    </row>
    <row r="209">
      <c r="A209" s="4" t="inlineStr">
        <is>
          <t>226001.03</t>
        </is>
      </c>
      <c r="B209" s="4" t="n">
        <v>0</v>
      </c>
      <c r="C209" s="5" t="inlineStr">
        <is>
          <t>Demonstration Certificate of Completion and Approval - Demonstration of Medical Equipment.</t>
        </is>
      </c>
      <c r="D209" s="4" t="inlineStr">
        <is>
          <t>22 60 01</t>
        </is>
      </c>
      <c r="E209" s="5" t="inlineStr">
        <is>
          <t>Medical Equipment</t>
        </is>
      </c>
      <c r="F209" s="4" t="inlineStr">
        <is>
          <t>CERT</t>
        </is>
      </c>
      <c r="G209" s="4" t="inlineStr">
        <is>
          <t>1.05.B.2 p.273</t>
        </is>
      </c>
      <c r="H209" s="6" t="n"/>
      <c r="I209" s="7" t="inlineStr"/>
      <c r="J209" s="8">
        <f>'Project Rules'!$B$5</f>
        <v/>
      </c>
      <c r="K209" s="8">
        <f>'Project Rules'!$B$6</f>
        <v/>
      </c>
      <c r="L209" s="9">
        <f>IF(OR(H209="",I209=""),"",H209-7*I209)</f>
        <v/>
      </c>
      <c r="M209" s="9">
        <f>IF(OR(H209="",I209=""),"",H209-7*(I209+J209+K209))</f>
        <v/>
      </c>
      <c r="N209" s="6" t="n"/>
      <c r="O209" s="6" t="n"/>
      <c r="P209" s="7" t="inlineStr">
        <is>
          <t>Not Started</t>
        </is>
      </c>
      <c r="Q209" s="10">
        <f>IF(OR(M209="",P209="Approved",P209="Approved as Noted"),"",M209-TODAY())</f>
        <v/>
      </c>
      <c r="R209" s="4" t="inlineStr">
        <is>
          <t>Spec article</t>
        </is>
      </c>
      <c r="S209" s="11" t="inlineStr"/>
      <c r="T209" s="4" t="inlineStr">
        <is>
          <t>Demonstration Certificate of Completion and Approval - Demonstration of Medical Equipment.</t>
        </is>
      </c>
    </row>
    <row r="210">
      <c r="A210" s="4" t="inlineStr">
        <is>
          <t>226001.04</t>
        </is>
      </c>
      <c r="B210" s="4" t="n">
        <v>0</v>
      </c>
      <c r="C210" s="5" t="inlineStr">
        <is>
          <t>Demonstration Certificate of Completion, signed by Manufacturer's Representative, Contractor and Owner</t>
        </is>
      </c>
      <c r="D210" s="4" t="inlineStr">
        <is>
          <t>22 60 01</t>
        </is>
      </c>
      <c r="E210" s="5" t="inlineStr">
        <is>
          <t>Medical Equipment</t>
        </is>
      </c>
      <c r="F210" s="4" t="inlineStr">
        <is>
          <t>CERT</t>
        </is>
      </c>
      <c r="G210" s="4" t="inlineStr">
        <is>
          <t>3.03.B p.273</t>
        </is>
      </c>
      <c r="H210" s="6" t="n"/>
      <c r="I210" s="7" t="inlineStr"/>
      <c r="J210" s="8">
        <f>'Project Rules'!$B$5</f>
        <v/>
      </c>
      <c r="K210" s="8">
        <f>'Project Rules'!$B$6</f>
        <v/>
      </c>
      <c r="L210" s="9">
        <f>IF(OR(H210="",I210=""),"",H210-7*I210)</f>
        <v/>
      </c>
      <c r="M210" s="9">
        <f>IF(OR(H210="",I210=""),"",H210-7*(I210+J210+K210))</f>
        <v/>
      </c>
      <c r="N210" s="6" t="n"/>
      <c r="O210" s="6" t="n"/>
      <c r="P210" s="7" t="inlineStr">
        <is>
          <t>Not Started</t>
        </is>
      </c>
      <c r="Q210" s="10">
        <f>IF(OR(M210="",P210="Approved",P210="Approved as Noted"),"",M210-TODAY())</f>
        <v/>
      </c>
      <c r="R210" s="4" t="inlineStr">
        <is>
          <t>Added by Claude</t>
        </is>
      </c>
      <c r="S210" s="11" t="inlineStr">
        <is>
          <t>After demonstration</t>
        </is>
      </c>
      <c r="T210" s="4" t="inlineStr">
        <is>
          <t>After completion of demonstrations, submit to the Architect a "Demonstration Certificate of Completion".</t>
        </is>
      </c>
    </row>
    <row r="211">
      <c r="A211" s="4" t="inlineStr">
        <is>
          <t>230010.01</t>
        </is>
      </c>
      <c r="B211" s="4" t="n">
        <v>0</v>
      </c>
      <c r="C211" s="5" t="inlineStr">
        <is>
          <t>Ductwork fabrication and hydronic piping shop drawings (coordinated with all trades, 1/8 in. scale plans, 1/4 in. mechanical rooms)</t>
        </is>
      </c>
      <c r="D211" s="4" t="inlineStr">
        <is>
          <t>23 00 10</t>
        </is>
      </c>
      <c r="E211" s="5" t="inlineStr">
        <is>
          <t>Basic Mechanical Requirements</t>
        </is>
      </c>
      <c r="F211" s="4" t="inlineStr">
        <is>
          <t>SD</t>
        </is>
      </c>
      <c r="G211" s="4" t="inlineStr">
        <is>
          <t>1.08 p.278</t>
        </is>
      </c>
      <c r="H211" s="6" t="n"/>
      <c r="I211" s="7" t="inlineStr"/>
      <c r="J211" s="8">
        <f>'Project Rules'!$B$5</f>
        <v/>
      </c>
      <c r="K211" s="8">
        <f>'Project Rules'!$B$6</f>
        <v/>
      </c>
      <c r="L211" s="9">
        <f>IF(OR(H211="",I211=""),"",H211-7*I211)</f>
        <v/>
      </c>
      <c r="M211" s="9">
        <f>IF(OR(H211="",I211=""),"",H211-7*(I211+J211+K211))</f>
        <v/>
      </c>
      <c r="N211" s="6" t="n"/>
      <c r="O211" s="6" t="n"/>
      <c r="P211" s="7" t="inlineStr">
        <is>
          <t>Not Started</t>
        </is>
      </c>
      <c r="Q211" s="10">
        <f>IF(OR(M211="",P211="Approved",P211="Approved as Noted"),"",M211-TODAY())</f>
        <v/>
      </c>
      <c r="R211" s="4" t="inlineStr">
        <is>
          <t>Spec article (merged)</t>
        </is>
      </c>
      <c r="S211" s="11" t="inlineStr"/>
      <c r="T211" s="4" t="inlineStr">
        <is>
          <t>Contractor shall submit ductwork fabrication and hydronic piping shop drawings for review by the Architect. Fabrication drawings shall be fully coordinated with ALL other trades and with existing conditions. All required shop drawings, except as hereinafter specified, shall be prepared at a scale of not less than 1/4 in. equal to 1 ft. for floor plans and 1/4 in. equal to 1 ft. for mechanical rooms.</t>
        </is>
      </c>
    </row>
    <row r="212">
      <c r="A212" s="4" t="inlineStr">
        <is>
          <t>230010.02</t>
        </is>
      </c>
      <c r="B212" s="4" t="n">
        <v>0</v>
      </c>
      <c r="C212" s="5" t="inlineStr">
        <is>
          <t>Operating and maintenance instructions: three sets with diagrams, parts lists and warranties for each item of equipment</t>
        </is>
      </c>
      <c r="D212" s="4" t="inlineStr">
        <is>
          <t>23 00 10</t>
        </is>
      </c>
      <c r="E212" s="5" t="inlineStr">
        <is>
          <t>Basic Mechanical Requirements</t>
        </is>
      </c>
      <c r="F212" s="4" t="inlineStr">
        <is>
          <t>OM</t>
        </is>
      </c>
      <c r="G212" s="4" t="inlineStr">
        <is>
          <t>1.12 p.278</t>
        </is>
      </c>
      <c r="H212" s="6" t="n"/>
      <c r="I212" s="7" t="inlineStr"/>
      <c r="J212" s="8">
        <f>'Project Rules'!$B$5</f>
        <v/>
      </c>
      <c r="K212" s="8">
        <f>'Project Rules'!$B$6</f>
        <v/>
      </c>
      <c r="L212" s="9">
        <f>IF(OR(H212="",I212=""),"",H212-7*I212)</f>
        <v/>
      </c>
      <c r="M212" s="9">
        <f>IF(OR(H212="",I212=""),"",H212-7*(I212+J212+K212))</f>
        <v/>
      </c>
      <c r="N212" s="6" t="n"/>
      <c r="O212" s="6" t="n"/>
      <c r="P212" s="7" t="inlineStr">
        <is>
          <t>Not Started</t>
        </is>
      </c>
      <c r="Q212" s="10">
        <f>IF(OR(M212="",P212="Approved",P212="Approved as Noted"),"",M212-TODAY())</f>
        <v/>
      </c>
      <c r="R212" s="4" t="inlineStr">
        <is>
          <t>Added by Claude</t>
        </is>
      </c>
      <c r="S212" s="11" t="inlineStr">
        <is>
          <t>Triplicate sets</t>
        </is>
      </c>
      <c r="T212" s="4" t="inlineStr">
        <is>
          <t>The Contractor shall prepare, in triplicate for the Owner's Manual, complete sets of operating and maintenance instructions, diagrams, manuals, parts lists, etc., for each item of equipment. Include copies of all equipment warranties.</t>
        </is>
      </c>
    </row>
    <row r="213">
      <c r="A213" s="4" t="inlineStr">
        <is>
          <t>230010.03</t>
        </is>
      </c>
      <c r="B213" s="4" t="n">
        <v>0</v>
      </c>
      <c r="C213" s="5" t="inlineStr">
        <is>
          <t>Letter of release after instructing Owner's representative (minimum 8 hours)</t>
        </is>
      </c>
      <c r="D213" s="4" t="inlineStr">
        <is>
          <t>23 00 10</t>
        </is>
      </c>
      <c r="E213" s="5" t="inlineStr">
        <is>
          <t>Basic Mechanical Requirements</t>
        </is>
      </c>
      <c r="F213" s="4" t="inlineStr">
        <is>
          <t>CERT</t>
        </is>
      </c>
      <c r="G213" s="4" t="inlineStr">
        <is>
          <t>1.12.B p.278</t>
        </is>
      </c>
      <c r="H213" s="6" t="n"/>
      <c r="I213" s="7" t="inlineStr"/>
      <c r="J213" s="8">
        <f>'Project Rules'!$B$5</f>
        <v/>
      </c>
      <c r="K213" s="8">
        <f>'Project Rules'!$B$6</f>
        <v/>
      </c>
      <c r="L213" s="9">
        <f>IF(OR(H213="",I213=""),"",H213-7*I213)</f>
        <v/>
      </c>
      <c r="M213" s="9">
        <f>IF(OR(H213="",I213=""),"",H213-7*(I213+J213+K213))</f>
        <v/>
      </c>
      <c r="N213" s="6" t="n"/>
      <c r="O213" s="6" t="n"/>
      <c r="P213" s="7" t="inlineStr">
        <is>
          <t>Not Started</t>
        </is>
      </c>
      <c r="Q213" s="10">
        <f>IF(OR(M213="",P213="Approved",P213="Approved as Noted"),"",M213-TODAY())</f>
        <v/>
      </c>
      <c r="R213" s="4" t="inlineStr">
        <is>
          <t>Added by Claude</t>
        </is>
      </c>
      <c r="S213" s="11" t="inlineStr">
        <is>
          <t>At completion of Owner instruction</t>
        </is>
      </c>
      <c r="T213" s="4" t="inlineStr">
        <is>
          <t>Contractor shall provide a technician to instruct the Owner's representative for not less than 8 hours. Upon completion, a letter of release is required stating dates of instruction and personnel instructed.</t>
        </is>
      </c>
    </row>
    <row r="214">
      <c r="A214" s="4" t="inlineStr">
        <is>
          <t>230010.04</t>
        </is>
      </c>
      <c r="B214" s="4" t="n">
        <v>0</v>
      </c>
      <c r="C214" s="5" t="inlineStr">
        <is>
          <t>Third-party (NRTL) labeling certification for packaged equipment, as a system for its intended use</t>
        </is>
      </c>
      <c r="D214" s="4" t="inlineStr">
        <is>
          <t>23 00 10</t>
        </is>
      </c>
      <c r="E214" s="5" t="inlineStr">
        <is>
          <t>Basic Mechanical Requirements</t>
        </is>
      </c>
      <c r="F214" s="4" t="inlineStr">
        <is>
          <t>CERT</t>
        </is>
      </c>
      <c r="G214" s="4" t="inlineStr">
        <is>
          <t>1.21.E p.281</t>
        </is>
      </c>
      <c r="H214" s="6" t="n"/>
      <c r="I214" s="7" t="inlineStr"/>
      <c r="J214" s="8">
        <f>'Project Rules'!$B$5</f>
        <v/>
      </c>
      <c r="K214" s="8">
        <f>'Project Rules'!$B$6</f>
        <v/>
      </c>
      <c r="L214" s="9">
        <f>IF(OR(H214="",I214=""),"",H214-7*I214)</f>
        <v/>
      </c>
      <c r="M214" s="9">
        <f>IF(OR(H214="",I214=""),"",H214-7*(I214+J214+K214))</f>
        <v/>
      </c>
      <c r="N214" s="6" t="n"/>
      <c r="O214" s="6" t="n"/>
      <c r="P214" s="7" t="inlineStr">
        <is>
          <t>Not Started</t>
        </is>
      </c>
      <c r="Q214" s="10">
        <f>IF(OR(M214="",P214="Approved",P214="Approved as Noted"),"",M214-TODAY())</f>
        <v/>
      </c>
      <c r="R214" s="4" t="inlineStr">
        <is>
          <t>Spec article</t>
        </is>
      </c>
      <c r="S214" s="11" t="inlineStr">
        <is>
          <t>Applies to packaged equipment only</t>
        </is>
      </c>
      <c r="T214" s="4" t="inlineStr">
        <is>
          <t>THIRD PARTY CERTIFICATION: All Packaged equipment shall be independently Third Party labeled as a system for its intended use by a Nationally Recognized Testing Laboratory (NRTL) in accordance with OSHA Federal Regulations 29CFR1910.303 and .399, as well as NFPA Pamphlet #70, National Electric Code (NEC), Article 90-7.</t>
        </is>
      </c>
    </row>
    <row r="215">
      <c r="A215" s="4" t="inlineStr">
        <is>
          <t>230010.05</t>
        </is>
      </c>
      <c r="B215" s="4" t="n">
        <v>0</v>
      </c>
      <c r="C215" s="5" t="inlineStr">
        <is>
          <t>Record drawings and marked-up specifications (revisions to piping and ductwork, equipment locations, inverts)</t>
        </is>
      </c>
      <c r="D215" s="4" t="inlineStr">
        <is>
          <t>23 00 10</t>
        </is>
      </c>
      <c r="E215" s="5" t="inlineStr">
        <is>
          <t>Basic Mechanical Requirements</t>
        </is>
      </c>
      <c r="F215" s="4" t="inlineStr">
        <is>
          <t>RECORD</t>
        </is>
      </c>
      <c r="G215" s="4" t="inlineStr">
        <is>
          <t>1.23 p.281</t>
        </is>
      </c>
      <c r="H215" s="6" t="n"/>
      <c r="I215" s="7" t="inlineStr"/>
      <c r="J215" s="8">
        <f>'Project Rules'!$B$5</f>
        <v/>
      </c>
      <c r="K215" s="8">
        <f>'Project Rules'!$B$6</f>
        <v/>
      </c>
      <c r="L215" s="9">
        <f>IF(OR(H215="",I215=""),"",H215-7*I215)</f>
        <v/>
      </c>
      <c r="M215" s="9">
        <f>IF(OR(H215="",I215=""),"",H215-7*(I215+J215+K215))</f>
        <v/>
      </c>
      <c r="N215" s="6" t="n"/>
      <c r="O215" s="6" t="n"/>
      <c r="P215" s="7" t="inlineStr">
        <is>
          <t>Not Started</t>
        </is>
      </c>
      <c r="Q215" s="10">
        <f>IF(OR(M215="",P215="Approved",P215="Approved as Noted"),"",M215-TODAY())</f>
        <v/>
      </c>
      <c r="R215" s="4" t="inlineStr">
        <is>
          <t>Added by Claude</t>
        </is>
      </c>
      <c r="S215" s="11" t="inlineStr">
        <is>
          <t>At closeout; see Section 01 77 00 and 01 78 39</t>
        </is>
      </c>
      <c r="T215" s="4" t="inlineStr">
        <is>
          <t>Mark Drawings to indicate revisions to piping and ductwork, actual equipment locations, and actual inverts and locations of underground piping. Mark Specifications to indicate approved substitutions, Change Orders, and actual equipment used.</t>
        </is>
      </c>
    </row>
    <row r="216">
      <c r="A216" s="4" t="inlineStr">
        <is>
          <t>230593.01</t>
        </is>
      </c>
      <c r="B216" s="4" t="n">
        <v>0</v>
      </c>
      <c r="C216" s="5" t="inlineStr">
        <is>
          <t>Certificate: Before beginning work, submit certification of AABC certified supervisor and AABC firm certification in accordance with Section 23 0010.</t>
        </is>
      </c>
      <c r="D216" s="4" t="inlineStr">
        <is>
          <t>23 05 93</t>
        </is>
      </c>
      <c r="E216" s="5" t="inlineStr">
        <is>
          <t>Mechanical Testing, Adjusting And Balancing</t>
        </is>
      </c>
      <c r="F216" s="4" t="inlineStr">
        <is>
          <t>CERT</t>
        </is>
      </c>
      <c r="G216" s="4" t="inlineStr">
        <is>
          <t>1.04.A p.293</t>
        </is>
      </c>
      <c r="H216" s="6" t="n"/>
      <c r="I216" s="7" t="inlineStr"/>
      <c r="J216" s="8">
        <f>'Project Rules'!$B$5</f>
        <v/>
      </c>
      <c r="K216" s="8">
        <f>'Project Rules'!$B$6</f>
        <v/>
      </c>
      <c r="L216" s="9">
        <f>IF(OR(H216="",I216=""),"",H216-7*I216)</f>
        <v/>
      </c>
      <c r="M216" s="9">
        <f>IF(OR(H216="",I216=""),"",H216-7*(I216+J216+K216))</f>
        <v/>
      </c>
      <c r="N216" s="6" t="n"/>
      <c r="O216" s="6" t="n"/>
      <c r="P216" s="7" t="inlineStr">
        <is>
          <t>Not Started</t>
        </is>
      </c>
      <c r="Q216" s="10">
        <f>IF(OR(M216="",P216="Approved",P216="Approved as Noted"),"",M216-TODAY())</f>
        <v/>
      </c>
      <c r="R216" s="4" t="inlineStr">
        <is>
          <t>Spec article</t>
        </is>
      </c>
      <c r="S216" s="11" t="inlineStr"/>
      <c r="T216" s="4" t="inlineStr">
        <is>
          <t>Certificate: Before beginning work, submit certification of AABC certified supervisor and AABC firm certification in accordance with Section 23 0010.</t>
        </is>
      </c>
    </row>
    <row r="217">
      <c r="A217" s="4" t="inlineStr">
        <is>
          <t>230593.02</t>
        </is>
      </c>
      <c r="B217" s="4" t="n">
        <v>0</v>
      </c>
      <c r="C217" s="5" t="inlineStr">
        <is>
          <t>Balancing Report: At completion of work, submit balancing report in accordance with Section 23 0010.</t>
        </is>
      </c>
      <c r="D217" s="4" t="inlineStr">
        <is>
          <t>23 05 93</t>
        </is>
      </c>
      <c r="E217" s="5" t="inlineStr">
        <is>
          <t>Mechanical Testing, Adjusting And Balancing</t>
        </is>
      </c>
      <c r="F217" s="4" t="inlineStr">
        <is>
          <t>REPORT</t>
        </is>
      </c>
      <c r="G217" s="4" t="inlineStr">
        <is>
          <t>1.04.B p.293</t>
        </is>
      </c>
      <c r="H217" s="6" t="n"/>
      <c r="I217" s="7" t="inlineStr"/>
      <c r="J217" s="8">
        <f>'Project Rules'!$B$5</f>
        <v/>
      </c>
      <c r="K217" s="8">
        <f>'Project Rules'!$B$6</f>
        <v/>
      </c>
      <c r="L217" s="9">
        <f>IF(OR(H217="",I217=""),"",H217-7*I217)</f>
        <v/>
      </c>
      <c r="M217" s="9">
        <f>IF(OR(H217="",I217=""),"",H217-7*(I217+J217+K217))</f>
        <v/>
      </c>
      <c r="N217" s="6" t="n"/>
      <c r="O217" s="6" t="n"/>
      <c r="P217" s="7" t="inlineStr">
        <is>
          <t>Not Started</t>
        </is>
      </c>
      <c r="Q217" s="10">
        <f>IF(OR(M217="",P217="Approved",P217="Approved as Noted"),"",M217-TODAY())</f>
        <v/>
      </c>
      <c r="R217" s="4" t="inlineStr">
        <is>
          <t>Spec article</t>
        </is>
      </c>
      <c r="S217" s="11" t="inlineStr"/>
      <c r="T217" s="4" t="inlineStr">
        <is>
          <t>Balancing Report: At completion of work, submit balancing report in accordance with Section 23 0010. After adjustments have been made submit three (3) copies of a complete detailed report on mechanical systems and their operation to include: 1. Blackline prints with air openings marked to correspond with data sheets and with thermometer locations clearly marked. 2. Data sheets showing amount of air handled at each opening, instrument used, velocity readings and manufacturer free area factors. 3. Equipment data sheets giving make, size, etc., of fans, motors and drives. Include supply fans, exhaust and recirculating fans. 4. Operating data including fan RPM, measured motor current and voltage BHP and CFM (total). 5. Equipment and operating data at each section of the unit and at the unit connection points including air temperatures entering and leaving coils (maximum air temperature rise), together with corresponding air flow and air pressure drop, water temperatures entering and leaving coils and water pressure drop through coil. 6. Equipment and operating data as required to show performance of H&amp;V units, fan coils, cabinet heaters, unit heaters, temperature control devices, pumps and domestic hot water circulating systems. 7. Static pressure loss across variable air volume boxes and associated reheat coils. 8. Prime source refrigeration equipment operating data at design conditions including temperature measurements, flow conditions and corresponding power consumption. 9. A statement outlining any abnormal or notable conditions not covered in above data. Make special note of any discrepancies between tabulated data and specified conditions.</t>
        </is>
      </c>
    </row>
    <row r="218">
      <c r="A218" s="4" t="inlineStr">
        <is>
          <t>230713.01</t>
        </is>
      </c>
      <c r="B218" s="4" t="n">
        <v>0</v>
      </c>
      <c r="C218" s="5" t="inlineStr">
        <is>
          <t>Product Data: Submit manufacturer's technical product data and installation instructions for each type of mechanical insulation.</t>
        </is>
      </c>
      <c r="D218" s="4" t="inlineStr">
        <is>
          <t>23 07 13</t>
        </is>
      </c>
      <c r="E218" s="5" t="inlineStr">
        <is>
          <t>Hvac Duct Insulation</t>
        </is>
      </c>
      <c r="F218" s="4" t="inlineStr">
        <is>
          <t>PD</t>
        </is>
      </c>
      <c r="G218" s="4" t="inlineStr">
        <is>
          <t>1.03.A p.296</t>
        </is>
      </c>
      <c r="H218" s="6" t="n"/>
      <c r="I218" s="7" t="inlineStr"/>
      <c r="J218" s="8">
        <f>'Project Rules'!$B$5</f>
        <v/>
      </c>
      <c r="K218" s="8">
        <f>'Project Rules'!$B$6</f>
        <v/>
      </c>
      <c r="L218" s="9">
        <f>IF(OR(H218="",I218=""),"",H218-7*I218)</f>
        <v/>
      </c>
      <c r="M218" s="9">
        <f>IF(OR(H218="",I218=""),"",H218-7*(I218+J218+K218))</f>
        <v/>
      </c>
      <c r="N218" s="6" t="n"/>
      <c r="O218" s="6" t="n"/>
      <c r="P218" s="7" t="inlineStr">
        <is>
          <t>Not Started</t>
        </is>
      </c>
      <c r="Q218" s="10">
        <f>IF(OR(M218="",P218="Approved",P218="Approved as Noted"),"",M218-TODAY())</f>
        <v/>
      </c>
      <c r="R218" s="4" t="inlineStr">
        <is>
          <t>Spec article</t>
        </is>
      </c>
      <c r="S218" s="11" t="inlineStr"/>
      <c r="T218" s="4" t="inlineStr">
        <is>
          <t>Product Data: Submit manufacturer's technical product data and installation instructions for each type of mechanical insulation. Submit schedule showing manufacturer's product number, k-value, thickness, and furnished accessories for each mechanical system requiring insulation.</t>
        </is>
      </c>
    </row>
    <row r="219">
      <c r="A219" s="4" t="inlineStr">
        <is>
          <t>233113.01</t>
        </is>
      </c>
      <c r="B219" s="4" t="n">
        <v>0</v>
      </c>
      <c r="C219" s="5" t="inlineStr">
        <is>
          <t>Product Data: Submit manufacturer’s technical product data and installation instructions for metal ductwork materials and products.</t>
        </is>
      </c>
      <c r="D219" s="4" t="inlineStr">
        <is>
          <t>23 31 13</t>
        </is>
      </c>
      <c r="E219" s="5" t="inlineStr">
        <is>
          <t>Metal Ductwork</t>
        </is>
      </c>
      <c r="F219" s="4" t="inlineStr">
        <is>
          <t>PD</t>
        </is>
      </c>
      <c r="G219" s="4" t="inlineStr">
        <is>
          <t>1.03.A p.301</t>
        </is>
      </c>
      <c r="H219" s="6" t="n"/>
      <c r="I219" s="7" t="inlineStr"/>
      <c r="J219" s="8">
        <f>'Project Rules'!$B$5</f>
        <v/>
      </c>
      <c r="K219" s="8">
        <f>'Project Rules'!$B$6</f>
        <v/>
      </c>
      <c r="L219" s="9">
        <f>IF(OR(H219="",I219=""),"",H219-7*I219)</f>
        <v/>
      </c>
      <c r="M219" s="9">
        <f>IF(OR(H219="",I219=""),"",H219-7*(I219+J219+K219))</f>
        <v/>
      </c>
      <c r="N219" s="6" t="n"/>
      <c r="O219" s="6" t="n"/>
      <c r="P219" s="7" t="inlineStr">
        <is>
          <t>Not Started</t>
        </is>
      </c>
      <c r="Q219" s="10">
        <f>IF(OR(M219="",P219="Approved",P219="Approved as Noted"),"",M219-TODAY())</f>
        <v/>
      </c>
      <c r="R219" s="4" t="inlineStr">
        <is>
          <t>Spec article</t>
        </is>
      </c>
      <c r="S219" s="11" t="inlineStr"/>
      <c r="T219" s="4" t="inlineStr">
        <is>
          <t>Product Data: Submit manufacturer’s technical product data and installation instructions for metal ductwork materials and products.</t>
        </is>
      </c>
    </row>
    <row r="220">
      <c r="A220" s="4" t="inlineStr">
        <is>
          <t>233113.02</t>
        </is>
      </c>
      <c r="B220" s="4" t="n">
        <v>0</v>
      </c>
      <c r="C220" s="5" t="inlineStr">
        <is>
          <t>Shop Drawings: Submit scaled layout drawings of metal ductwork and fittings including, but not limited to, duct sizes, locations, elevations, and slopes of horizontal...</t>
        </is>
      </c>
      <c r="D220" s="4" t="inlineStr">
        <is>
          <t>23 31 13</t>
        </is>
      </c>
      <c r="E220" s="5" t="inlineStr">
        <is>
          <t>Metal Ductwork</t>
        </is>
      </c>
      <c r="F220" s="4" t="inlineStr">
        <is>
          <t>SD</t>
        </is>
      </c>
      <c r="G220" s="4" t="inlineStr">
        <is>
          <t>1.03.B p.301</t>
        </is>
      </c>
      <c r="H220" s="6" t="n"/>
      <c r="I220" s="7" t="inlineStr"/>
      <c r="J220" s="8">
        <f>'Project Rules'!$B$5</f>
        <v/>
      </c>
      <c r="K220" s="8">
        <f>'Project Rules'!$B$6</f>
        <v/>
      </c>
      <c r="L220" s="9">
        <f>IF(OR(H220="",I220=""),"",H220-7*I220)</f>
        <v/>
      </c>
      <c r="M220" s="9">
        <f>IF(OR(H220="",I220=""),"",H220-7*(I220+J220+K220))</f>
        <v/>
      </c>
      <c r="N220" s="6" t="n"/>
      <c r="O220" s="6" t="n"/>
      <c r="P220" s="7" t="inlineStr">
        <is>
          <t>Not Started</t>
        </is>
      </c>
      <c r="Q220" s="10">
        <f>IF(OR(M220="",P220="Approved",P220="Approved as Noted"),"",M220-TODAY())</f>
        <v/>
      </c>
      <c r="R220" s="4" t="inlineStr">
        <is>
          <t>Spec article</t>
        </is>
      </c>
      <c r="S220" s="11" t="inlineStr"/>
      <c r="T220" s="4" t="inlineStr">
        <is>
          <t>Shop Drawings: Submit scaled layout drawings of metal ductwork and fittings including, but not limited to, duct sizes, locations, elevations, and slopes of horizontal runs, wall and floor penetrations, and connections. Show interface and spatial relationship between ductwork and proximate equipment. Show modifications of indicated requirements, made to conform to local shop practice, and how those modifications ensure that free area, materials and rigidity are not reduced.</t>
        </is>
      </c>
    </row>
    <row r="221">
      <c r="A221" s="4" t="inlineStr">
        <is>
          <t>233113.03</t>
        </is>
      </c>
      <c r="B221" s="4" t="n">
        <v>0</v>
      </c>
      <c r="C221" s="5" t="inlineStr">
        <is>
          <t>Record Drawings: At project closeout, submit record drawings of installed metal ductwork and ductwork products, in accordance with requirements of Division 01.</t>
        </is>
      </c>
      <c r="D221" s="4" t="inlineStr">
        <is>
          <t>23 31 13</t>
        </is>
      </c>
      <c r="E221" s="5" t="inlineStr">
        <is>
          <t>Metal Ductwork</t>
        </is>
      </c>
      <c r="F221" s="4" t="inlineStr">
        <is>
          <t>RECORD</t>
        </is>
      </c>
      <c r="G221" s="4" t="inlineStr">
        <is>
          <t>1.03.C p.301</t>
        </is>
      </c>
      <c r="H221" s="6" t="n"/>
      <c r="I221" s="7" t="inlineStr"/>
      <c r="J221" s="8">
        <f>'Project Rules'!$B$5</f>
        <v/>
      </c>
      <c r="K221" s="8">
        <f>'Project Rules'!$B$6</f>
        <v/>
      </c>
      <c r="L221" s="9">
        <f>IF(OR(H221="",I221=""),"",H221-7*I221)</f>
        <v/>
      </c>
      <c r="M221" s="9">
        <f>IF(OR(H221="",I221=""),"",H221-7*(I221+J221+K221))</f>
        <v/>
      </c>
      <c r="N221" s="6" t="n"/>
      <c r="O221" s="6" t="n"/>
      <c r="P221" s="7" t="inlineStr">
        <is>
          <t>Not Started</t>
        </is>
      </c>
      <c r="Q221" s="10">
        <f>IF(OR(M221="",P221="Approved",P221="Approved as Noted"),"",M221-TODAY())</f>
        <v/>
      </c>
      <c r="R221" s="4" t="inlineStr">
        <is>
          <t>Spec article</t>
        </is>
      </c>
      <c r="S221" s="11" t="inlineStr"/>
      <c r="T221" s="4" t="inlineStr">
        <is>
          <t>Record Drawings: At project closeout, submit record drawings of installed metal ductwork and ductwork products, in accordance with requirements of Division 01.</t>
        </is>
      </c>
    </row>
    <row r="222">
      <c r="A222" s="4" t="inlineStr">
        <is>
          <t>233113.19.01</t>
        </is>
      </c>
      <c r="B222" s="4" t="n">
        <v>0</v>
      </c>
      <c r="C222" s="5" t="inlineStr">
        <is>
          <t>Product Data: Submit manufacturer's technical product data for each type of ductwork accessory, including dimensions, capacities, and materials of construction; and...</t>
        </is>
      </c>
      <c r="D222" s="4" t="inlineStr">
        <is>
          <t>23 31 13.19</t>
        </is>
      </c>
      <c r="E222" s="5" t="inlineStr">
        <is>
          <t>Ductwork Accessories</t>
        </is>
      </c>
      <c r="F222" s="4" t="inlineStr">
        <is>
          <t>PD</t>
        </is>
      </c>
      <c r="G222" s="4" t="inlineStr">
        <is>
          <t>1.03.A p.298</t>
        </is>
      </c>
      <c r="H222" s="6" t="n"/>
      <c r="I222" s="7" t="inlineStr"/>
      <c r="J222" s="8">
        <f>'Project Rules'!$B$5</f>
        <v/>
      </c>
      <c r="K222" s="8">
        <f>'Project Rules'!$B$6</f>
        <v/>
      </c>
      <c r="L222" s="9">
        <f>IF(OR(H222="",I222=""),"",H222-7*I222)</f>
        <v/>
      </c>
      <c r="M222" s="9">
        <f>IF(OR(H222="",I222=""),"",H222-7*(I222+J222+K222))</f>
        <v/>
      </c>
      <c r="N222" s="6" t="n"/>
      <c r="O222" s="6" t="n"/>
      <c r="P222" s="7" t="inlineStr">
        <is>
          <t>Not Started</t>
        </is>
      </c>
      <c r="Q222" s="10">
        <f>IF(OR(M222="",P222="Approved",P222="Approved as Noted"),"",M222-TODAY())</f>
        <v/>
      </c>
      <c r="R222" s="4" t="inlineStr">
        <is>
          <t>Spec article</t>
        </is>
      </c>
      <c r="S222" s="11" t="inlineStr"/>
      <c r="T222" s="4" t="inlineStr">
        <is>
          <t>Product Data: Submit manufacturer's technical product data for each type of ductwork accessory, including dimensions, capacities, and materials of construction; and installation instructions.</t>
        </is>
      </c>
    </row>
    <row r="223">
      <c r="A223" s="4" t="inlineStr">
        <is>
          <t>233713.01</t>
        </is>
      </c>
      <c r="B223" s="4" t="n">
        <v>0</v>
      </c>
      <c r="C223" s="5" t="inlineStr">
        <is>
          <t>Product Data: Submit manufacturer's technical product data for air outlets and inlets including the following: 1.</t>
        </is>
      </c>
      <c r="D223" s="4" t="inlineStr">
        <is>
          <t>23 37 13</t>
        </is>
      </c>
      <c r="E223" s="5" t="inlineStr">
        <is>
          <t>Air Outlets And Inlets</t>
        </is>
      </c>
      <c r="F223" s="4" t="inlineStr">
        <is>
          <t>PD+SCHED</t>
        </is>
      </c>
      <c r="G223" s="4" t="inlineStr">
        <is>
          <t>1.03.A p.306</t>
        </is>
      </c>
      <c r="H223" s="6" t="n"/>
      <c r="I223" s="7" t="inlineStr"/>
      <c r="J223" s="8">
        <f>'Project Rules'!$B$5</f>
        <v/>
      </c>
      <c r="K223" s="8">
        <f>'Project Rules'!$B$6</f>
        <v/>
      </c>
      <c r="L223" s="9">
        <f>IF(OR(H223="",I223=""),"",H223-7*I223)</f>
        <v/>
      </c>
      <c r="M223" s="9">
        <f>IF(OR(H223="",I223=""),"",H223-7*(I223+J223+K223))</f>
        <v/>
      </c>
      <c r="N223" s="6" t="n"/>
      <c r="O223" s="6" t="n"/>
      <c r="P223" s="7" t="inlineStr">
        <is>
          <t>Not Started</t>
        </is>
      </c>
      <c r="Q223" s="10">
        <f>IF(OR(M223="",P223="Approved",P223="Approved as Noted"),"",M223-TODAY())</f>
        <v/>
      </c>
      <c r="R223" s="4" t="inlineStr">
        <is>
          <t>Spec article</t>
        </is>
      </c>
      <c r="S223" s="11" t="inlineStr"/>
      <c r="T223" s="4" t="inlineStr">
        <is>
          <t>Product Data: Submit manufacturer's technical product data for air outlets and inlets including the following: 1. Schedule of air outlets and inlets indicating drawing designation, room location, number furnished, model number, size, and accessories furnished. 2. Data sheet for each type of air outlet and inlet, and accessory furnished; indicating construction, finish, and mounting details. 3. Performance data for each type of air outlet and inlet furnished, including aspiration ability, temperature and velocity traverses, throw and drop, and noise criteria ratings. Indicate selections on data.</t>
        </is>
      </c>
    </row>
    <row r="224">
      <c r="A224" s="4" t="inlineStr">
        <is>
          <t>238965.01</t>
        </is>
      </c>
      <c r="B224" s="4" t="n">
        <v>0</v>
      </c>
      <c r="C224" s="5" t="inlineStr">
        <is>
          <t>Manufacturer's data and installation instructions for motor controllers</t>
        </is>
      </c>
      <c r="D224" s="4" t="inlineStr">
        <is>
          <t>23 89 65</t>
        </is>
      </c>
      <c r="E224" s="5" t="inlineStr">
        <is>
          <t>Motor Controllers</t>
        </is>
      </c>
      <c r="F224" s="4" t="inlineStr">
        <is>
          <t>PD</t>
        </is>
      </c>
      <c r="G224" s="4" t="inlineStr">
        <is>
          <t>1.01.A p.309</t>
        </is>
      </c>
      <c r="H224" s="6" t="n"/>
      <c r="I224" s="7" t="inlineStr"/>
      <c r="J224" s="8">
        <f>'Project Rules'!$B$5</f>
        <v/>
      </c>
      <c r="K224" s="8">
        <f>'Project Rules'!$B$6</f>
        <v/>
      </c>
      <c r="L224" s="9">
        <f>IF(OR(H224="",I224=""),"",H224-7*I224)</f>
        <v/>
      </c>
      <c r="M224" s="9">
        <f>IF(OR(H224="",I224=""),"",H224-7*(I224+J224+K224))</f>
        <v/>
      </c>
      <c r="N224" s="6" t="n"/>
      <c r="O224" s="6" t="n"/>
      <c r="P224" s="7" t="inlineStr">
        <is>
          <t>Not Started</t>
        </is>
      </c>
      <c r="Q224" s="10">
        <f>IF(OR(M224="",P224="Approved",P224="Approved as Noted"),"",M224-TODAY())</f>
        <v/>
      </c>
      <c r="R224" s="4" t="inlineStr">
        <is>
          <t>Added by Claude</t>
        </is>
      </c>
      <c r="S224" s="11" t="inlineStr">
        <is>
          <t>Found in the Summary article, not a submittals article</t>
        </is>
      </c>
      <c r="T224" s="4" t="inlineStr">
        <is>
          <t>Manufacturer's Data: Submit manufacturer's data and installation instructions on motor controllers.</t>
        </is>
      </c>
    </row>
    <row r="225">
      <c r="A225" s="4" t="inlineStr">
        <is>
          <t>260510.01</t>
        </is>
      </c>
      <c r="B225" s="4" t="n">
        <v>0</v>
      </c>
      <c r="C225" s="5" t="inlineStr">
        <is>
          <t>Shop drawings for all material furnished under Division 26 (five copies)</t>
        </is>
      </c>
      <c r="D225" s="4" t="inlineStr">
        <is>
          <t>26 05 10</t>
        </is>
      </c>
      <c r="E225" s="5" t="inlineStr">
        <is>
          <t>General Requirements For Electrical Work</t>
        </is>
      </c>
      <c r="F225" s="4" t="inlineStr">
        <is>
          <t>SD</t>
        </is>
      </c>
      <c r="G225" s="4" t="inlineStr">
        <is>
          <t>2.01.A p.313</t>
        </is>
      </c>
      <c r="H225" s="6" t="n"/>
      <c r="I225" s="7" t="inlineStr"/>
      <c r="J225" s="8">
        <f>'Project Rules'!$B$5</f>
        <v/>
      </c>
      <c r="K225" s="8">
        <f>'Project Rules'!$B$6</f>
        <v/>
      </c>
      <c r="L225" s="9">
        <f>IF(OR(H225="",I225=""),"",H225-7*I225)</f>
        <v/>
      </c>
      <c r="M225" s="9">
        <f>IF(OR(H225="",I225=""),"",H225-7*(I225+J225+K225))</f>
        <v/>
      </c>
      <c r="N225" s="6" t="n"/>
      <c r="O225" s="6" t="n"/>
      <c r="P225" s="7" t="inlineStr">
        <is>
          <t>Not Started</t>
        </is>
      </c>
      <c r="Q225" s="10">
        <f>IF(OR(M225="",P225="Approved",P225="Approved as Noted"),"",M225-TODAY())</f>
        <v/>
      </c>
      <c r="R225" s="4" t="inlineStr">
        <is>
          <t>Added by Claude</t>
        </is>
      </c>
      <c r="S225" s="11" t="inlineStr">
        <is>
          <t>Five copies per 3.xx rearrangement clause; confirm count in 2.01</t>
        </is>
      </c>
      <c r="T225" s="4" t="inlineStr">
        <is>
          <t>Submit Shop Drawings for all material furnished under this division of the work.</t>
        </is>
      </c>
    </row>
    <row r="226">
      <c r="A226" s="4" t="inlineStr">
        <is>
          <t>260510.02</t>
        </is>
      </c>
      <c r="B226" s="4" t="n">
        <v>0</v>
      </c>
      <c r="C226" s="5" t="inlineStr">
        <is>
          <t>Samples when requested by the Architect</t>
        </is>
      </c>
      <c r="D226" s="4" t="inlineStr">
        <is>
          <t>26 05 10</t>
        </is>
      </c>
      <c r="E226" s="5" t="inlineStr">
        <is>
          <t>General Requirements For Electrical Work</t>
        </is>
      </c>
      <c r="F226" s="4" t="inlineStr">
        <is>
          <t>SAM</t>
        </is>
      </c>
      <c r="G226" s="4" t="inlineStr">
        <is>
          <t>2.01.D p.313</t>
        </is>
      </c>
      <c r="H226" s="6" t="n"/>
      <c r="I226" s="7" t="inlineStr"/>
      <c r="J226" s="8">
        <f>'Project Rules'!$B$5</f>
        <v/>
      </c>
      <c r="K226" s="8">
        <f>'Project Rules'!$B$6</f>
        <v/>
      </c>
      <c r="L226" s="9">
        <f>IF(OR(H226="",I226=""),"",H226-7*I226)</f>
        <v/>
      </c>
      <c r="M226" s="9">
        <f>IF(OR(H226="",I226=""),"",H226-7*(I226+J226+K226))</f>
        <v/>
      </c>
      <c r="N226" s="6" t="n"/>
      <c r="O226" s="6" t="n"/>
      <c r="P226" s="7" t="inlineStr">
        <is>
          <t>Not Started</t>
        </is>
      </c>
      <c r="Q226" s="10">
        <f>IF(OR(M226="",P226="Approved",P226="Approved as Noted"),"",M226-TODAY())</f>
        <v/>
      </c>
      <c r="R226" s="4" t="inlineStr">
        <is>
          <t>Added by Claude</t>
        </is>
      </c>
      <c r="S226" s="11" t="inlineStr">
        <is>
          <t>Only on request</t>
        </is>
      </c>
      <c r="T226" s="4" t="inlineStr">
        <is>
          <t>Submit samples for approval when requested by the Architect.</t>
        </is>
      </c>
    </row>
    <row r="227">
      <c r="A227" s="4" t="inlineStr">
        <is>
          <t>260510.03</t>
        </is>
      </c>
      <c r="B227" s="4" t="n">
        <v>0</v>
      </c>
      <c r="C227" s="5" t="inlineStr">
        <is>
          <t>Record documents: marked-up job set, then final transparencies</t>
        </is>
      </c>
      <c r="D227" s="4" t="inlineStr">
        <is>
          <t>26 05 10</t>
        </is>
      </c>
      <c r="E227" s="5" t="inlineStr">
        <is>
          <t>General Requirements For Electrical Work</t>
        </is>
      </c>
      <c r="F227" s="4" t="inlineStr">
        <is>
          <t>RECORD</t>
        </is>
      </c>
      <c r="G227" s="4" t="inlineStr">
        <is>
          <t>3.15 p.317</t>
        </is>
      </c>
      <c r="H227" s="6" t="n"/>
      <c r="I227" s="7" t="inlineStr"/>
      <c r="J227" s="8">
        <f>'Project Rules'!$B$5</f>
        <v/>
      </c>
      <c r="K227" s="8">
        <f>'Project Rules'!$B$6</f>
        <v/>
      </c>
      <c r="L227" s="9">
        <f>IF(OR(H227="",I227=""),"",H227-7*I227)</f>
        <v/>
      </c>
      <c r="M227" s="9">
        <f>IF(OR(H227="",I227=""),"",H227-7*(I227+J227+K227))</f>
        <v/>
      </c>
      <c r="N227" s="6" t="n"/>
      <c r="O227" s="6" t="n"/>
      <c r="P227" s="7" t="inlineStr">
        <is>
          <t>Not Started</t>
        </is>
      </c>
      <c r="Q227" s="10">
        <f>IF(OR(M227="",P227="Approved",P227="Approved as Noted"),"",M227-TODAY())</f>
        <v/>
      </c>
      <c r="R227" s="4" t="inlineStr">
        <is>
          <t>Added by Claude</t>
        </is>
      </c>
      <c r="S227" s="11" t="inlineStr">
        <is>
          <t>At closeout</t>
        </is>
      </c>
      <c r="T227" s="4" t="inlineStr">
        <is>
          <t>Submit the completed set of Project Record Documents to the Architect. Participate in review meetings and promptly deliver final Project Record Documents.</t>
        </is>
      </c>
    </row>
    <row r="228">
      <c r="A228" s="4" t="inlineStr">
        <is>
          <t>260510.04</t>
        </is>
      </c>
      <c r="B228" s="4" t="n">
        <v>0</v>
      </c>
      <c r="C228" s="5" t="inlineStr">
        <is>
          <t>Operations and maintenance data (two sets) and warranty documents</t>
        </is>
      </c>
      <c r="D228" s="4" t="inlineStr">
        <is>
          <t>26 05 10</t>
        </is>
      </c>
      <c r="E228" s="5" t="inlineStr">
        <is>
          <t>General Requirements For Electrical Work</t>
        </is>
      </c>
      <c r="F228" s="4" t="inlineStr">
        <is>
          <t>OM</t>
        </is>
      </c>
      <c r="G228" s="4" t="inlineStr">
        <is>
          <t>3.16 p.318</t>
        </is>
      </c>
      <c r="H228" s="6" t="n"/>
      <c r="I228" s="7" t="inlineStr"/>
      <c r="J228" s="8">
        <f>'Project Rules'!$B$5</f>
        <v/>
      </c>
      <c r="K228" s="8">
        <f>'Project Rules'!$B$6</f>
        <v/>
      </c>
      <c r="L228" s="9">
        <f>IF(OR(H228="",I228=""),"",H228-7*I228)</f>
        <v/>
      </c>
      <c r="M228" s="9">
        <f>IF(OR(H228="",I228=""),"",H228-7*(I228+J228+K228))</f>
        <v/>
      </c>
      <c r="N228" s="6" t="n"/>
      <c r="O228" s="6" t="n"/>
      <c r="P228" s="7" t="inlineStr">
        <is>
          <t>Not Started</t>
        </is>
      </c>
      <c r="Q228" s="10">
        <f>IF(OR(M228="",P228="Approved",P228="Approved as Noted"),"",M228-TODAY())</f>
        <v/>
      </c>
      <c r="R228" s="4" t="inlineStr">
        <is>
          <t>Added by Claude</t>
        </is>
      </c>
      <c r="S228" s="11" t="inlineStr">
        <is>
          <t>At closeout</t>
        </is>
      </c>
      <c r="T228" s="4" t="inlineStr">
        <is>
          <t>Accumulate, as the job progresses, the following data, in duplicate, prepared in a neat brochure or packet folder, and deliver to the Architect.</t>
        </is>
      </c>
    </row>
    <row r="229">
      <c r="A229" s="4" t="inlineStr">
        <is>
          <t>260519.01</t>
        </is>
      </c>
      <c r="B229" s="4" t="n">
        <v>0</v>
      </c>
      <c r="C229" s="5" t="inlineStr">
        <is>
          <t>Manufacturer's Data: Submit copies of manufacturer's specifications for products to be used.</t>
        </is>
      </c>
      <c r="D229" s="4" t="inlineStr">
        <is>
          <t>26 05 19</t>
        </is>
      </c>
      <c r="E229" s="5" t="inlineStr">
        <is>
          <t>Wires And Cables</t>
        </is>
      </c>
      <c r="F229" s="4" t="inlineStr">
        <is>
          <t>PD</t>
        </is>
      </c>
      <c r="G229" s="4" t="inlineStr">
        <is>
          <t>1.02.A p.327</t>
        </is>
      </c>
      <c r="H229" s="6" t="n"/>
      <c r="I229" s="7" t="inlineStr"/>
      <c r="J229" s="8">
        <f>'Project Rules'!$B$5</f>
        <v/>
      </c>
      <c r="K229" s="8">
        <f>'Project Rules'!$B$6</f>
        <v/>
      </c>
      <c r="L229" s="9">
        <f>IF(OR(H229="",I229=""),"",H229-7*I229)</f>
        <v/>
      </c>
      <c r="M229" s="9">
        <f>IF(OR(H229="",I229=""),"",H229-7*(I229+J229+K229))</f>
        <v/>
      </c>
      <c r="N229" s="6" t="n"/>
      <c r="O229" s="6" t="n"/>
      <c r="P229" s="7" t="inlineStr">
        <is>
          <t>Not Started</t>
        </is>
      </c>
      <c r="Q229" s="10">
        <f>IF(OR(M229="",P229="Approved",P229="Approved as Noted"),"",M229-TODAY())</f>
        <v/>
      </c>
      <c r="R229" s="4" t="inlineStr">
        <is>
          <t>Spec article</t>
        </is>
      </c>
      <c r="S229" s="11" t="inlineStr"/>
      <c r="T229" s="4" t="inlineStr">
        <is>
          <t>Manufacturer's Data: Submit copies of manufacturer's specifications for products to be used.</t>
        </is>
      </c>
    </row>
    <row r="230">
      <c r="A230" s="4" t="inlineStr">
        <is>
          <t>260520.01</t>
        </is>
      </c>
      <c r="B230" s="4" t="n">
        <v>0</v>
      </c>
      <c r="C230" s="5" t="inlineStr">
        <is>
          <t>Manufacturer's Data: Submit copies of manufacturer's specifications for products to be used.</t>
        </is>
      </c>
      <c r="D230" s="4" t="inlineStr">
        <is>
          <t>26 05 20</t>
        </is>
      </c>
      <c r="E230" s="5" t="inlineStr">
        <is>
          <t>Wire Connection And Devices</t>
        </is>
      </c>
      <c r="F230" s="4" t="inlineStr">
        <is>
          <t>PD</t>
        </is>
      </c>
      <c r="G230" s="4" t="inlineStr">
        <is>
          <t>1.02.A p.329</t>
        </is>
      </c>
      <c r="H230" s="6" t="n"/>
      <c r="I230" s="7" t="inlineStr"/>
      <c r="J230" s="8">
        <f>'Project Rules'!$B$5</f>
        <v/>
      </c>
      <c r="K230" s="8">
        <f>'Project Rules'!$B$6</f>
        <v/>
      </c>
      <c r="L230" s="9">
        <f>IF(OR(H230="",I230=""),"",H230-7*I230)</f>
        <v/>
      </c>
      <c r="M230" s="9">
        <f>IF(OR(H230="",I230=""),"",H230-7*(I230+J230+K230))</f>
        <v/>
      </c>
      <c r="N230" s="6" t="n"/>
      <c r="O230" s="6" t="n"/>
      <c r="P230" s="7" t="inlineStr">
        <is>
          <t>Not Started</t>
        </is>
      </c>
      <c r="Q230" s="10">
        <f>IF(OR(M230="",P230="Approved",P230="Approved as Noted"),"",M230-TODAY())</f>
        <v/>
      </c>
      <c r="R230" s="4" t="inlineStr">
        <is>
          <t>Spec article</t>
        </is>
      </c>
      <c r="S230" s="11" t="inlineStr"/>
      <c r="T230" s="4" t="inlineStr">
        <is>
          <t>Manufacturer's Data: Submit copies of manufacturer's specifications for products to be used.</t>
        </is>
      </c>
    </row>
    <row r="231">
      <c r="A231" s="4" t="inlineStr">
        <is>
          <t>260526.01</t>
        </is>
      </c>
      <c r="B231" s="4" t="n">
        <v>0</v>
      </c>
      <c r="C231" s="5" t="inlineStr">
        <is>
          <t>Manufacturer's Data: Submit copies of manufacturer's specifications for products used.</t>
        </is>
      </c>
      <c r="D231" s="4" t="inlineStr">
        <is>
          <t>26 05 26</t>
        </is>
      </c>
      <c r="E231" s="5" t="inlineStr">
        <is>
          <t>Grounding</t>
        </is>
      </c>
      <c r="F231" s="4" t="inlineStr">
        <is>
          <t>PD</t>
        </is>
      </c>
      <c r="G231" s="4" t="inlineStr">
        <is>
          <t>1.02.A p.331</t>
        </is>
      </c>
      <c r="H231" s="6" t="n"/>
      <c r="I231" s="7" t="inlineStr"/>
      <c r="J231" s="8">
        <f>'Project Rules'!$B$5</f>
        <v/>
      </c>
      <c r="K231" s="8">
        <f>'Project Rules'!$B$6</f>
        <v/>
      </c>
      <c r="L231" s="9">
        <f>IF(OR(H231="",I231=""),"",H231-7*I231)</f>
        <v/>
      </c>
      <c r="M231" s="9">
        <f>IF(OR(H231="",I231=""),"",H231-7*(I231+J231+K231))</f>
        <v/>
      </c>
      <c r="N231" s="6" t="n"/>
      <c r="O231" s="6" t="n"/>
      <c r="P231" s="7" t="inlineStr">
        <is>
          <t>Not Started</t>
        </is>
      </c>
      <c r="Q231" s="10">
        <f>IF(OR(M231="",P231="Approved",P231="Approved as Noted"),"",M231-TODAY())</f>
        <v/>
      </c>
      <c r="R231" s="4" t="inlineStr">
        <is>
          <t>Spec article</t>
        </is>
      </c>
      <c r="S231" s="11" t="inlineStr"/>
      <c r="T231" s="4" t="inlineStr">
        <is>
          <t>Manufacturer's Data: Submit copies of manufacturer's specifications for products used.</t>
        </is>
      </c>
    </row>
    <row r="232">
      <c r="A232" s="12" t="inlineStr">
        <is>
          <t>260527.01</t>
        </is>
      </c>
      <c r="B232" s="4" t="n">
        <v>0</v>
      </c>
      <c r="C232" s="13" t="inlineStr">
        <is>
          <t>Samples of penetration sealing products, on written request</t>
        </is>
      </c>
      <c r="D232" s="12" t="inlineStr">
        <is>
          <t>26 05 27</t>
        </is>
      </c>
      <c r="E232" s="5" t="inlineStr">
        <is>
          <t>Sealing Of Penetrations</t>
        </is>
      </c>
      <c r="F232" s="12" t="inlineStr">
        <is>
          <t>SAM</t>
        </is>
      </c>
      <c r="G232" s="12" t="inlineStr">
        <is>
          <t>1.02.A p.333</t>
        </is>
      </c>
      <c r="H232" s="6" t="n"/>
      <c r="I232" s="7" t="inlineStr"/>
      <c r="J232" s="8">
        <f>'Project Rules'!$B$5</f>
        <v/>
      </c>
      <c r="K232" s="8">
        <f>'Project Rules'!$B$6</f>
        <v/>
      </c>
      <c r="L232" s="9">
        <f>IF(OR(H232="",I232=""),"",H232-7*I232)</f>
        <v/>
      </c>
      <c r="M232" s="9">
        <f>IF(OR(H232="",I232=""),"",H232-7*(I232+J232+K232))</f>
        <v/>
      </c>
      <c r="N232" s="6" t="n"/>
      <c r="O232" s="6" t="n"/>
      <c r="P232" s="7" t="inlineStr">
        <is>
          <t>Not Started</t>
        </is>
      </c>
      <c r="Q232" s="10">
        <f>IF(OR(M232="",P232="Approved",P232="Approved as Noted"),"",M232-TODAY())</f>
        <v/>
      </c>
      <c r="R232" s="12" t="inlineStr">
        <is>
          <t>Spec article</t>
        </is>
      </c>
      <c r="S232" s="11" t="inlineStr">
        <is>
          <t>Request-only item. Confirm whether to track it.</t>
        </is>
      </c>
      <c r="T232" s="4" t="inlineStr">
        <is>
          <t>Samples: Provide samples upon written request.</t>
        </is>
      </c>
    </row>
    <row r="233">
      <c r="A233" s="4" t="inlineStr">
        <is>
          <t>260527.02</t>
        </is>
      </c>
      <c r="B233" s="4" t="n">
        <v>0</v>
      </c>
      <c r="C233" s="5" t="inlineStr">
        <is>
          <t>Product Data: Manufacturer's specifications and installation instructions.</t>
        </is>
      </c>
      <c r="D233" s="4" t="inlineStr">
        <is>
          <t>26 05 27</t>
        </is>
      </c>
      <c r="E233" s="5" t="inlineStr">
        <is>
          <t>Sealing Of Penetrations</t>
        </is>
      </c>
      <c r="F233" s="4" t="inlineStr">
        <is>
          <t>PD</t>
        </is>
      </c>
      <c r="G233" s="4" t="inlineStr">
        <is>
          <t>1.02.B p.333</t>
        </is>
      </c>
      <c r="H233" s="6" t="n"/>
      <c r="I233" s="7" t="inlineStr"/>
      <c r="J233" s="8">
        <f>'Project Rules'!$B$5</f>
        <v/>
      </c>
      <c r="K233" s="8">
        <f>'Project Rules'!$B$6</f>
        <v/>
      </c>
      <c r="L233" s="9">
        <f>IF(OR(H233="",I233=""),"",H233-7*I233)</f>
        <v/>
      </c>
      <c r="M233" s="9">
        <f>IF(OR(H233="",I233=""),"",H233-7*(I233+J233+K233))</f>
        <v/>
      </c>
      <c r="N233" s="6" t="n"/>
      <c r="O233" s="6" t="n"/>
      <c r="P233" s="7" t="inlineStr">
        <is>
          <t>Not Started</t>
        </is>
      </c>
      <c r="Q233" s="10">
        <f>IF(OR(M233="",P233="Approved",P233="Approved as Noted"),"",M233-TODAY())</f>
        <v/>
      </c>
      <c r="R233" s="4" t="inlineStr">
        <is>
          <t>Spec article</t>
        </is>
      </c>
      <c r="S233" s="11" t="inlineStr"/>
      <c r="T233" s="4" t="inlineStr">
        <is>
          <t>Product Data: Manufacturer's specifications and installation instructions.</t>
        </is>
      </c>
    </row>
    <row r="234">
      <c r="A234" s="4" t="inlineStr">
        <is>
          <t>260529.01</t>
        </is>
      </c>
      <c r="B234" s="4" t="n">
        <v>0</v>
      </c>
      <c r="C234" s="5" t="inlineStr">
        <is>
          <t>Manufacturer's engineering brochures for supporting devices</t>
        </is>
      </c>
      <c r="D234" s="4" t="inlineStr">
        <is>
          <t>26 05 29</t>
        </is>
      </c>
      <c r="E234" s="5" t="inlineStr">
        <is>
          <t>Supporting Devices</t>
        </is>
      </c>
      <c r="F234" s="4" t="inlineStr">
        <is>
          <t>PD</t>
        </is>
      </c>
      <c r="G234" s="4" t="inlineStr">
        <is>
          <t>1.02 p.335</t>
        </is>
      </c>
      <c r="H234" s="6" t="n"/>
      <c r="I234" s="7" t="inlineStr"/>
      <c r="J234" s="8">
        <f>'Project Rules'!$B$5</f>
        <v/>
      </c>
      <c r="K234" s="8">
        <f>'Project Rules'!$B$6</f>
        <v/>
      </c>
      <c r="L234" s="9">
        <f>IF(OR(H234="",I234=""),"",H234-7*I234)</f>
        <v/>
      </c>
      <c r="M234" s="9">
        <f>IF(OR(H234="",I234=""),"",H234-7*(I234+J234+K234))</f>
        <v/>
      </c>
      <c r="N234" s="6" t="n"/>
      <c r="O234" s="6" t="n"/>
      <c r="P234" s="7" t="inlineStr">
        <is>
          <t>Not Started</t>
        </is>
      </c>
      <c r="Q234" s="10">
        <f>IF(OR(M234="",P234="Approved",P234="Approved as Noted"),"",M234-TODAY())</f>
        <v/>
      </c>
      <c r="R234" s="4" t="inlineStr">
        <is>
          <t>Spec article</t>
        </is>
      </c>
      <c r="S234" s="11" t="inlineStr"/>
      <c r="T234" s="4" t="inlineStr">
        <is>
          <t>1. Manufacturer's engineering brochures.</t>
        </is>
      </c>
    </row>
    <row r="235">
      <c r="A235" s="4" t="inlineStr">
        <is>
          <t>260532.01</t>
        </is>
      </c>
      <c r="B235" s="4" t="n">
        <v>0</v>
      </c>
      <c r="C235" s="5" t="inlineStr">
        <is>
          <t>Manufacturer's Data: Submit copies of manufacturer's specifications for products to be used.</t>
        </is>
      </c>
      <c r="D235" s="4" t="inlineStr">
        <is>
          <t>26 05 32</t>
        </is>
      </c>
      <c r="E235" s="5" t="inlineStr">
        <is>
          <t>Pull And Junction Boxes</t>
        </is>
      </c>
      <c r="F235" s="4" t="inlineStr">
        <is>
          <t>PD</t>
        </is>
      </c>
      <c r="G235" s="4" t="inlineStr">
        <is>
          <t>1.02.A p.337</t>
        </is>
      </c>
      <c r="H235" s="6" t="n"/>
      <c r="I235" s="7" t="inlineStr"/>
      <c r="J235" s="8">
        <f>'Project Rules'!$B$5</f>
        <v/>
      </c>
      <c r="K235" s="8">
        <f>'Project Rules'!$B$6</f>
        <v/>
      </c>
      <c r="L235" s="9">
        <f>IF(OR(H235="",I235=""),"",H235-7*I235)</f>
        <v/>
      </c>
      <c r="M235" s="9">
        <f>IF(OR(H235="",I235=""),"",H235-7*(I235+J235+K235))</f>
        <v/>
      </c>
      <c r="N235" s="6" t="n"/>
      <c r="O235" s="6" t="n"/>
      <c r="P235" s="7" t="inlineStr">
        <is>
          <t>Not Started</t>
        </is>
      </c>
      <c r="Q235" s="10">
        <f>IF(OR(M235="",P235="Approved",P235="Approved as Noted"),"",M235-TODAY())</f>
        <v/>
      </c>
      <c r="R235" s="4" t="inlineStr">
        <is>
          <t>Spec article</t>
        </is>
      </c>
      <c r="S235" s="11" t="inlineStr"/>
      <c r="T235" s="4" t="inlineStr">
        <is>
          <t>Manufacturer's Data: Submit copies of manufacturer's specifications for products to be used.</t>
        </is>
      </c>
    </row>
    <row r="236">
      <c r="A236" s="4" t="inlineStr">
        <is>
          <t>260533.01</t>
        </is>
      </c>
      <c r="B236" s="4" t="n">
        <v>0</v>
      </c>
      <c r="C236" s="5" t="inlineStr">
        <is>
          <t>Manufacturer's Data: Submit copies of manufacturer's specifications and product data for products to be used.</t>
        </is>
      </c>
      <c r="D236" s="4" t="inlineStr">
        <is>
          <t>26 05 33</t>
        </is>
      </c>
      <c r="E236" s="5" t="inlineStr">
        <is>
          <t>Conduits</t>
        </is>
      </c>
      <c r="F236" s="4" t="inlineStr">
        <is>
          <t>PD</t>
        </is>
      </c>
      <c r="G236" s="4" t="inlineStr">
        <is>
          <t>1.02.A p.338</t>
        </is>
      </c>
      <c r="H236" s="6" t="n"/>
      <c r="I236" s="7" t="inlineStr"/>
      <c r="J236" s="8">
        <f>'Project Rules'!$B$5</f>
        <v/>
      </c>
      <c r="K236" s="8">
        <f>'Project Rules'!$B$6</f>
        <v/>
      </c>
      <c r="L236" s="9">
        <f>IF(OR(H236="",I236=""),"",H236-7*I236)</f>
        <v/>
      </c>
      <c r="M236" s="9">
        <f>IF(OR(H236="",I236=""),"",H236-7*(I236+J236+K236))</f>
        <v/>
      </c>
      <c r="N236" s="6" t="n"/>
      <c r="O236" s="6" t="n"/>
      <c r="P236" s="7" t="inlineStr">
        <is>
          <t>Not Started</t>
        </is>
      </c>
      <c r="Q236" s="10">
        <f>IF(OR(M236="",P236="Approved",P236="Approved as Noted"),"",M236-TODAY())</f>
        <v/>
      </c>
      <c r="R236" s="4" t="inlineStr">
        <is>
          <t>Spec article</t>
        </is>
      </c>
      <c r="S236" s="11" t="inlineStr"/>
      <c r="T236" s="4" t="inlineStr">
        <is>
          <t>Manufacturer's Data: Submit copies of manufacturer's specifications and product data for products to be used.</t>
        </is>
      </c>
    </row>
    <row r="237">
      <c r="A237" s="4" t="inlineStr">
        <is>
          <t>260534.01</t>
        </is>
      </c>
      <c r="B237" s="4" t="n">
        <v>0</v>
      </c>
      <c r="C237" s="5" t="inlineStr">
        <is>
          <t>Manufacturer's Data: Submit copies of manufacturer's specifications for products to be used.</t>
        </is>
      </c>
      <c r="D237" s="4" t="inlineStr">
        <is>
          <t>26 05 34</t>
        </is>
      </c>
      <c r="E237" s="5" t="inlineStr">
        <is>
          <t>Outlet Boxes</t>
        </is>
      </c>
      <c r="F237" s="4" t="inlineStr">
        <is>
          <t>PD</t>
        </is>
      </c>
      <c r="G237" s="4" t="inlineStr">
        <is>
          <t>1.02.A p.341</t>
        </is>
      </c>
      <c r="H237" s="6" t="n"/>
      <c r="I237" s="7" t="inlineStr"/>
      <c r="J237" s="8">
        <f>'Project Rules'!$B$5</f>
        <v/>
      </c>
      <c r="K237" s="8">
        <f>'Project Rules'!$B$6</f>
        <v/>
      </c>
      <c r="L237" s="9">
        <f>IF(OR(H237="",I237=""),"",H237-7*I237)</f>
        <v/>
      </c>
      <c r="M237" s="9">
        <f>IF(OR(H237="",I237=""),"",H237-7*(I237+J237+K237))</f>
        <v/>
      </c>
      <c r="N237" s="6" t="n"/>
      <c r="O237" s="6" t="n"/>
      <c r="P237" s="7" t="inlineStr">
        <is>
          <t>Not Started</t>
        </is>
      </c>
      <c r="Q237" s="10">
        <f>IF(OR(M237="",P237="Approved",P237="Approved as Noted"),"",M237-TODAY())</f>
        <v/>
      </c>
      <c r="R237" s="4" t="inlineStr">
        <is>
          <t>Spec article</t>
        </is>
      </c>
      <c r="S237" s="11" t="inlineStr"/>
      <c r="T237" s="4" t="inlineStr">
        <is>
          <t>Manufacturer's Data: Submit copies of manufacturer's specifications for products to be used.</t>
        </is>
      </c>
    </row>
    <row r="238">
      <c r="A238" s="4" t="inlineStr">
        <is>
          <t>260535.01</t>
        </is>
      </c>
      <c r="B238" s="4" t="n">
        <v>0</v>
      </c>
      <c r="C238" s="5" t="inlineStr">
        <is>
          <t>Manufacturer's specifications for wireway</t>
        </is>
      </c>
      <c r="D238" s="4" t="inlineStr">
        <is>
          <t>26 05 35</t>
        </is>
      </c>
      <c r="E238" s="5" t="inlineStr">
        <is>
          <t>Wireway</t>
        </is>
      </c>
      <c r="F238" s="4" t="inlineStr">
        <is>
          <t>REPORT</t>
        </is>
      </c>
      <c r="G238" s="4" t="inlineStr">
        <is>
          <t>1.02.A p.343</t>
        </is>
      </c>
      <c r="H238" s="6" t="n"/>
      <c r="I238" s="7" t="inlineStr"/>
      <c r="J238" s="8">
        <f>'Project Rules'!$B$5</f>
        <v/>
      </c>
      <c r="K238" s="8">
        <f>'Project Rules'!$B$6</f>
        <v/>
      </c>
      <c r="L238" s="9">
        <f>IF(OR(H238="",I238=""),"",H238-7*I238)</f>
        <v/>
      </c>
      <c r="M238" s="9">
        <f>IF(OR(H238="",I238=""),"",H238-7*(I238+J238+K238))</f>
        <v/>
      </c>
      <c r="N238" s="6" t="n"/>
      <c r="O238" s="6" t="n"/>
      <c r="P238" s="7" t="inlineStr">
        <is>
          <t>Not Started</t>
        </is>
      </c>
      <c r="Q238" s="10">
        <f>IF(OR(M238="",P238="Approved",P238="Approved as Noted"),"",M238-TODAY())</f>
        <v/>
      </c>
      <c r="R238" s="4" t="inlineStr">
        <is>
          <t>Spec article</t>
        </is>
      </c>
      <c r="S238" s="11" t="inlineStr"/>
      <c r="T238" s="4" t="inlineStr">
        <is>
          <t>Submit copies of manufacturer's specifications for products used.</t>
        </is>
      </c>
    </row>
    <row r="239">
      <c r="A239" s="4" t="inlineStr">
        <is>
          <t>262716.01</t>
        </is>
      </c>
      <c r="B239" s="4" t="n">
        <v>0</v>
      </c>
      <c r="C239" s="5" t="inlineStr">
        <is>
          <t>Manufacturer's Data: Submit copies of manufacturer's specifications for products to be used.</t>
        </is>
      </c>
      <c r="D239" s="4" t="inlineStr">
        <is>
          <t>26 27 16</t>
        </is>
      </c>
      <c r="E239" s="5" t="inlineStr">
        <is>
          <t>Cabinets</t>
        </is>
      </c>
      <c r="F239" s="4" t="inlineStr">
        <is>
          <t>PD</t>
        </is>
      </c>
      <c r="G239" s="4" t="inlineStr">
        <is>
          <t>1.02.A p.344</t>
        </is>
      </c>
      <c r="H239" s="6" t="n"/>
      <c r="I239" s="7" t="inlineStr"/>
      <c r="J239" s="8">
        <f>'Project Rules'!$B$5</f>
        <v/>
      </c>
      <c r="K239" s="8">
        <f>'Project Rules'!$B$6</f>
        <v/>
      </c>
      <c r="L239" s="9">
        <f>IF(OR(H239="",I239=""),"",H239-7*I239)</f>
        <v/>
      </c>
      <c r="M239" s="9">
        <f>IF(OR(H239="",I239=""),"",H239-7*(I239+J239+K239))</f>
        <v/>
      </c>
      <c r="N239" s="6" t="n"/>
      <c r="O239" s="6" t="n"/>
      <c r="P239" s="7" t="inlineStr">
        <is>
          <t>Not Started</t>
        </is>
      </c>
      <c r="Q239" s="10">
        <f>IF(OR(M239="",P239="Approved",P239="Approved as Noted"),"",M239-TODAY())</f>
        <v/>
      </c>
      <c r="R239" s="4" t="inlineStr">
        <is>
          <t>Spec article</t>
        </is>
      </c>
      <c r="S239" s="11" t="inlineStr"/>
      <c r="T239" s="4" t="inlineStr">
        <is>
          <t>Manufacturer's Data: Submit copies of manufacturer's specifications for products to be used.</t>
        </is>
      </c>
    </row>
    <row r="240">
      <c r="A240" s="4" t="inlineStr">
        <is>
          <t>262726.01</t>
        </is>
      </c>
      <c r="B240" s="4" t="n">
        <v>0</v>
      </c>
      <c r="C240" s="5" t="inlineStr">
        <is>
          <t>Manufacturer's Data: Submit copies of manufacturer's specifications for products to be used.</t>
        </is>
      </c>
      <c r="D240" s="4" t="inlineStr">
        <is>
          <t>26 27 26</t>
        </is>
      </c>
      <c r="E240" s="5" t="inlineStr">
        <is>
          <t>Wiring Devices</t>
        </is>
      </c>
      <c r="F240" s="4" t="inlineStr">
        <is>
          <t>PD</t>
        </is>
      </c>
      <c r="G240" s="4" t="inlineStr">
        <is>
          <t>1.02.A p.345</t>
        </is>
      </c>
      <c r="H240" s="6" t="n"/>
      <c r="I240" s="7" t="inlineStr"/>
      <c r="J240" s="8">
        <f>'Project Rules'!$B$5</f>
        <v/>
      </c>
      <c r="K240" s="8">
        <f>'Project Rules'!$B$6</f>
        <v/>
      </c>
      <c r="L240" s="9">
        <f>IF(OR(H240="",I240=""),"",H240-7*I240)</f>
        <v/>
      </c>
      <c r="M240" s="9">
        <f>IF(OR(H240="",I240=""),"",H240-7*(I240+J240+K240))</f>
        <v/>
      </c>
      <c r="N240" s="6" t="n"/>
      <c r="O240" s="6" t="n"/>
      <c r="P240" s="7" t="inlineStr">
        <is>
          <t>Not Started</t>
        </is>
      </c>
      <c r="Q240" s="10">
        <f>IF(OR(M240="",P240="Approved",P240="Approved as Noted"),"",M240-TODAY())</f>
        <v/>
      </c>
      <c r="R240" s="4" t="inlineStr">
        <is>
          <t>Spec article</t>
        </is>
      </c>
      <c r="S240" s="11" t="inlineStr"/>
      <c r="T240" s="4" t="inlineStr">
        <is>
          <t>Manufacturer's Data: Submit copies of manufacturer's specifications for products to be used. Manufacturer's catalog numbers listed are used to set the standard.</t>
        </is>
      </c>
    </row>
    <row r="241">
      <c r="A241" s="4" t="inlineStr">
        <is>
          <t>262816.01</t>
        </is>
      </c>
      <c r="B241" s="4" t="n">
        <v>0</v>
      </c>
      <c r="C241" s="5" t="inlineStr">
        <is>
          <t>Manufacturer's Data: Submit copies of manufacturer's specifications for products to be used.</t>
        </is>
      </c>
      <c r="D241" s="4" t="inlineStr">
        <is>
          <t>26 28 16</t>
        </is>
      </c>
      <c r="E241" s="5" t="inlineStr">
        <is>
          <t>Overcurrent Protective Devices</t>
        </is>
      </c>
      <c r="F241" s="4" t="inlineStr">
        <is>
          <t>PD</t>
        </is>
      </c>
      <c r="G241" s="4" t="inlineStr">
        <is>
          <t>1.02.A p.347</t>
        </is>
      </c>
      <c r="H241" s="6" t="n"/>
      <c r="I241" s="7" t="inlineStr"/>
      <c r="J241" s="8">
        <f>'Project Rules'!$B$5</f>
        <v/>
      </c>
      <c r="K241" s="8">
        <f>'Project Rules'!$B$6</f>
        <v/>
      </c>
      <c r="L241" s="9">
        <f>IF(OR(H241="",I241=""),"",H241-7*I241)</f>
        <v/>
      </c>
      <c r="M241" s="9">
        <f>IF(OR(H241="",I241=""),"",H241-7*(I241+J241+K241))</f>
        <v/>
      </c>
      <c r="N241" s="6" t="n"/>
      <c r="O241" s="6" t="n"/>
      <c r="P241" s="7" t="inlineStr">
        <is>
          <t>Not Started</t>
        </is>
      </c>
      <c r="Q241" s="10">
        <f>IF(OR(M241="",P241="Approved",P241="Approved as Noted"),"",M241-TODAY())</f>
        <v/>
      </c>
      <c r="R241" s="4" t="inlineStr">
        <is>
          <t>Spec article</t>
        </is>
      </c>
      <c r="S241" s="11" t="inlineStr"/>
      <c r="T241" s="4" t="inlineStr">
        <is>
          <t>Manufacturer's Data: Submit copies of manufacturer's specifications for products to be used.</t>
        </is>
      </c>
    </row>
    <row r="242">
      <c r="A242" s="4" t="inlineStr">
        <is>
          <t>262817.01</t>
        </is>
      </c>
      <c r="B242" s="4" t="n">
        <v>0</v>
      </c>
      <c r="C242" s="5" t="inlineStr">
        <is>
          <t>Manufacturer's Data: Submit copies of manufacturer's specifications for products to be used.</t>
        </is>
      </c>
      <c r="D242" s="4" t="inlineStr">
        <is>
          <t>26 28 17</t>
        </is>
      </c>
      <c r="E242" s="5" t="inlineStr">
        <is>
          <t>Disconnect Switches</t>
        </is>
      </c>
      <c r="F242" s="4" t="inlineStr">
        <is>
          <t>PD</t>
        </is>
      </c>
      <c r="G242" s="4" t="inlineStr">
        <is>
          <t>1.02.A p.350</t>
        </is>
      </c>
      <c r="H242" s="6" t="n"/>
      <c r="I242" s="7" t="inlineStr"/>
      <c r="J242" s="8">
        <f>'Project Rules'!$B$5</f>
        <v/>
      </c>
      <c r="K242" s="8">
        <f>'Project Rules'!$B$6</f>
        <v/>
      </c>
      <c r="L242" s="9">
        <f>IF(OR(H242="",I242=""),"",H242-7*I242)</f>
        <v/>
      </c>
      <c r="M242" s="9">
        <f>IF(OR(H242="",I242=""),"",H242-7*(I242+J242+K242))</f>
        <v/>
      </c>
      <c r="N242" s="6" t="n"/>
      <c r="O242" s="6" t="n"/>
      <c r="P242" s="7" t="inlineStr">
        <is>
          <t>Not Started</t>
        </is>
      </c>
      <c r="Q242" s="10">
        <f>IF(OR(M242="",P242="Approved",P242="Approved as Noted"),"",M242-TODAY())</f>
        <v/>
      </c>
      <c r="R242" s="4" t="inlineStr">
        <is>
          <t>Spec article</t>
        </is>
      </c>
      <c r="S242" s="11" t="inlineStr"/>
      <c r="T242" s="4" t="inlineStr">
        <is>
          <t>Manufacturer's Data: Submit copies of manufacturer's specifications for products to be used.</t>
        </is>
      </c>
    </row>
    <row r="243">
      <c r="A243" s="4" t="inlineStr">
        <is>
          <t>262913.01</t>
        </is>
      </c>
      <c r="B243" s="4" t="n">
        <v>0</v>
      </c>
      <c r="C243" s="5" t="inlineStr">
        <is>
          <t>Manufacturer's Data: Submit copies of manufacturer's specifications for products to be used.</t>
        </is>
      </c>
      <c r="D243" s="4" t="inlineStr">
        <is>
          <t>26 29 13</t>
        </is>
      </c>
      <c r="E243" s="5" t="inlineStr">
        <is>
          <t>Motors, Motor Starters And Controls</t>
        </is>
      </c>
      <c r="F243" s="4" t="inlineStr">
        <is>
          <t>PD</t>
        </is>
      </c>
      <c r="G243" s="4" t="inlineStr">
        <is>
          <t>1.02.A p.351</t>
        </is>
      </c>
      <c r="H243" s="6" t="n"/>
      <c r="I243" s="7" t="inlineStr"/>
      <c r="J243" s="8">
        <f>'Project Rules'!$B$5</f>
        <v/>
      </c>
      <c r="K243" s="8">
        <f>'Project Rules'!$B$6</f>
        <v/>
      </c>
      <c r="L243" s="9">
        <f>IF(OR(H243="",I243=""),"",H243-7*I243)</f>
        <v/>
      </c>
      <c r="M243" s="9">
        <f>IF(OR(H243="",I243=""),"",H243-7*(I243+J243+K243))</f>
        <v/>
      </c>
      <c r="N243" s="6" t="n"/>
      <c r="O243" s="6" t="n"/>
      <c r="P243" s="7" t="inlineStr">
        <is>
          <t>Not Started</t>
        </is>
      </c>
      <c r="Q243" s="10">
        <f>IF(OR(M243="",P243="Approved",P243="Approved as Noted"),"",M243-TODAY())</f>
        <v/>
      </c>
      <c r="R243" s="4" t="inlineStr">
        <is>
          <t>Spec article</t>
        </is>
      </c>
      <c r="S243" s="11" t="inlineStr"/>
      <c r="T243" s="4" t="inlineStr">
        <is>
          <t>Manufacturer's Data: Submit copies of manufacturer's specifications for products to be used.</t>
        </is>
      </c>
    </row>
    <row r="244">
      <c r="A244" s="4" t="inlineStr">
        <is>
          <t>265113.01</t>
        </is>
      </c>
      <c r="B244" s="4" t="n">
        <v>0</v>
      </c>
      <c r="C244" s="5" t="inlineStr">
        <is>
          <t>Manufacturer's Data: Submit copies of fixture, ballast and lamp manufacturer's specifications for products used.</t>
        </is>
      </c>
      <c r="D244" s="4" t="inlineStr">
        <is>
          <t>26 51 13</t>
        </is>
      </c>
      <c r="E244" s="5" t="inlineStr">
        <is>
          <t>Lighting</t>
        </is>
      </c>
      <c r="F244" s="4" t="inlineStr">
        <is>
          <t>PD</t>
        </is>
      </c>
      <c r="G244" s="4" t="inlineStr">
        <is>
          <t>1.02.A p.353</t>
        </is>
      </c>
      <c r="H244" s="6" t="n"/>
      <c r="I244" s="7" t="inlineStr"/>
      <c r="J244" s="8">
        <f>'Project Rules'!$B$5</f>
        <v/>
      </c>
      <c r="K244" s="8">
        <f>'Project Rules'!$B$6</f>
        <v/>
      </c>
      <c r="L244" s="9">
        <f>IF(OR(H244="",I244=""),"",H244-7*I244)</f>
        <v/>
      </c>
      <c r="M244" s="9">
        <f>IF(OR(H244="",I244=""),"",H244-7*(I244+J244+K244))</f>
        <v/>
      </c>
      <c r="N244" s="6" t="n"/>
      <c r="O244" s="6" t="n"/>
      <c r="P244" s="7" t="inlineStr">
        <is>
          <t>Not Started</t>
        </is>
      </c>
      <c r="Q244" s="10">
        <f>IF(OR(M244="",P244="Approved",P244="Approved as Noted"),"",M244-TODAY())</f>
        <v/>
      </c>
      <c r="R244" s="4" t="inlineStr">
        <is>
          <t>Spec article</t>
        </is>
      </c>
      <c r="S244" s="11" t="inlineStr"/>
      <c r="T244" s="4" t="inlineStr">
        <is>
          <t>Manufacturer's Data: Submit copies of fixture, ballast and lamp manufacturer's specifications for products used. Identify the total input watts including ballast losses for each fixture type.</t>
        </is>
      </c>
    </row>
    <row r="245">
      <c r="A245" s="4" t="inlineStr">
        <is>
          <t>265113.02</t>
        </is>
      </c>
      <c r="B245" s="4" t="n">
        <v>0</v>
      </c>
      <c r="C245" s="5" t="inlineStr">
        <is>
          <t>Lighting facts documentation for all LED fixtures</t>
        </is>
      </c>
      <c r="D245" s="4" t="inlineStr">
        <is>
          <t>26 51 13</t>
        </is>
      </c>
      <c r="E245" s="5" t="inlineStr">
        <is>
          <t>Lighting</t>
        </is>
      </c>
      <c r="F245" s="4" t="inlineStr">
        <is>
          <t>CERT</t>
        </is>
      </c>
      <c r="G245" s="4" t="inlineStr">
        <is>
          <t>1.02.B p.353</t>
        </is>
      </c>
      <c r="H245" s="6" t="n"/>
      <c r="I245" s="7" t="inlineStr"/>
      <c r="J245" s="8">
        <f>'Project Rules'!$B$5</f>
        <v/>
      </c>
      <c r="K245" s="8">
        <f>'Project Rules'!$B$6</f>
        <v/>
      </c>
      <c r="L245" s="9">
        <f>IF(OR(H245="",I245=""),"",H245-7*I245)</f>
        <v/>
      </c>
      <c r="M245" s="9">
        <f>IF(OR(H245="",I245=""),"",H245-7*(I245+J245+K245))</f>
        <v/>
      </c>
      <c r="N245" s="6" t="n"/>
      <c r="O245" s="6" t="n"/>
      <c r="P245" s="7" t="inlineStr">
        <is>
          <t>Not Started</t>
        </is>
      </c>
      <c r="Q245" s="10">
        <f>IF(OR(M245="",P245="Approved",P245="Approved as Noted"),"",M245-TODAY())</f>
        <v/>
      </c>
      <c r="R245" s="4" t="inlineStr">
        <is>
          <t>Spec article</t>
        </is>
      </c>
      <c r="S245" s="11" t="inlineStr"/>
      <c r="T245" s="4" t="inlineStr">
        <is>
          <t>Submit lighting facts documentation for all LED fixtures.</t>
        </is>
      </c>
    </row>
    <row r="246">
      <c r="A246" s="12" t="inlineStr">
        <is>
          <t>265113.03</t>
        </is>
      </c>
      <c r="B246" s="4" t="n">
        <v>0</v>
      </c>
      <c r="C246" s="13" t="inlineStr">
        <is>
          <t>Samples of lighting fixtures, if required by the Architect</t>
        </is>
      </c>
      <c r="D246" s="12" t="inlineStr">
        <is>
          <t>26 51 13</t>
        </is>
      </c>
      <c r="E246" s="5" t="inlineStr">
        <is>
          <t>Lighting</t>
        </is>
      </c>
      <c r="F246" s="12" t="inlineStr">
        <is>
          <t>SAM</t>
        </is>
      </c>
      <c r="G246" s="12" t="inlineStr">
        <is>
          <t>1.02.C p.353</t>
        </is>
      </c>
      <c r="H246" s="6" t="n"/>
      <c r="I246" s="7" t="inlineStr"/>
      <c r="J246" s="8">
        <f>'Project Rules'!$B$5</f>
        <v/>
      </c>
      <c r="K246" s="8">
        <f>'Project Rules'!$B$6</f>
        <v/>
      </c>
      <c r="L246" s="9">
        <f>IF(OR(H246="",I246=""),"",H246-7*I246)</f>
        <v/>
      </c>
      <c r="M246" s="9">
        <f>IF(OR(H246="",I246=""),"",H246-7*(I246+J246+K246))</f>
        <v/>
      </c>
      <c r="N246" s="6" t="n"/>
      <c r="O246" s="6" t="n"/>
      <c r="P246" s="7" t="inlineStr">
        <is>
          <t>Not Started</t>
        </is>
      </c>
      <c r="Q246" s="10">
        <f>IF(OR(M246="",P246="Approved",P246="Approved as Noted"),"",M246-TODAY())</f>
        <v/>
      </c>
      <c r="R246" s="12" t="inlineStr">
        <is>
          <t>Spec article</t>
        </is>
      </c>
      <c r="S246" s="11" t="inlineStr">
        <is>
          <t>Request-only item. Confirm whether to track it.</t>
        </is>
      </c>
      <c r="T246" s="4" t="inlineStr">
        <is>
          <t>If required by Architect, submit samples of lighting fixtures for approval.</t>
        </is>
      </c>
    </row>
    <row r="247">
      <c r="A247" s="4" t="inlineStr">
        <is>
          <t>270528.01</t>
        </is>
      </c>
      <c r="B247" s="4" t="n">
        <v>0</v>
      </c>
      <c r="C247" s="5" t="inlineStr">
        <is>
          <t>Manufacturer's Data: Submit copies of manufacturer's specifications for products used.</t>
        </is>
      </c>
      <c r="D247" s="4" t="inlineStr">
        <is>
          <t>27 05 28</t>
        </is>
      </c>
      <c r="E247" s="5" t="inlineStr">
        <is>
          <t>Empty Conduit Systems</t>
        </is>
      </c>
      <c r="F247" s="4" t="inlineStr">
        <is>
          <t>PD</t>
        </is>
      </c>
      <c r="G247" s="4" t="inlineStr">
        <is>
          <t>1.02.A p.355</t>
        </is>
      </c>
      <c r="H247" s="6" t="n"/>
      <c r="I247" s="7" t="inlineStr"/>
      <c r="J247" s="8">
        <f>'Project Rules'!$B$5</f>
        <v/>
      </c>
      <c r="K247" s="8">
        <f>'Project Rules'!$B$6</f>
        <v/>
      </c>
      <c r="L247" s="9">
        <f>IF(OR(H247="",I247=""),"",H247-7*I247)</f>
        <v/>
      </c>
      <c r="M247" s="9">
        <f>IF(OR(H247="",I247=""),"",H247-7*(I247+J247+K247))</f>
        <v/>
      </c>
      <c r="N247" s="6" t="n"/>
      <c r="O247" s="6" t="n"/>
      <c r="P247" s="7" t="inlineStr">
        <is>
          <t>Not Started</t>
        </is>
      </c>
      <c r="Q247" s="10">
        <f>IF(OR(M247="",P247="Approved",P247="Approved as Noted"),"",M247-TODAY())</f>
        <v/>
      </c>
      <c r="R247" s="4" t="inlineStr">
        <is>
          <t>Spec article</t>
        </is>
      </c>
      <c r="S247" s="11" t="inlineStr"/>
      <c r="T247" s="4" t="inlineStr">
        <is>
          <t>Manufacturer's Data: Submit copies of manufacturer's specifications for products used.</t>
        </is>
      </c>
    </row>
  </sheetData>
  <autoFilter ref="A4:T247"/>
  <conditionalFormatting sqref="P5:P247">
    <cfRule type="expression" priority="1" dxfId="0">
      <formula>OR(P5="Approved",P5="Approved as Noted")</formula>
    </cfRule>
    <cfRule type="expression" priority="2" dxfId="1">
      <formula>OR(P5="Revise/Resubmit",P5="Rejected")</formula>
    </cfRule>
    <cfRule type="expression" priority="3" dxfId="2">
      <formula>P5="Submitted"</formula>
    </cfRule>
  </conditionalFormatting>
  <conditionalFormatting sqref="Q5:Q247">
    <cfRule type="cellIs" priority="4" operator="lessThan" dxfId="1">
      <formula>0</formula>
    </cfRule>
  </conditionalFormatting>
  <dataValidations count="1">
    <dataValidation sqref="P5:P247" showDropDown="0" showInputMessage="0" showErrorMessage="0" allowBlank="0" errorTitle="Status" error="Pick a status from the list." type="list">
      <formula1>"Not Started,In Prep,Submitted,Approved,Approved as Noted,Revise/Resubmit,Rejected"</formula1>
    </dataValidation>
  </dataValidation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10" customWidth="1" min="2" max="2"/>
  </cols>
  <sheetData>
    <row r="1">
      <c r="A1" s="1" t="inlineStr">
        <is>
          <t>Project Rules</t>
        </is>
      </c>
    </row>
    <row r="2">
      <c r="A2" s="2" t="inlineStr">
        <is>
          <t>Yellow cells are inputs. The Register sheet reads the review and prep weeks from here.</t>
        </is>
      </c>
    </row>
    <row r="4">
      <c r="A4" s="14" t="inlineStr">
        <is>
          <t>Project</t>
        </is>
      </c>
      <c r="B4" s="11" t="inlineStr">
        <is>
          <t>Radiology Room E.D. Vol B</t>
        </is>
      </c>
    </row>
    <row r="5">
      <c r="A5" s="14" t="inlineStr">
        <is>
          <t>Default review time (weeks)</t>
        </is>
      </c>
      <c r="B5" s="15" t="n">
        <v>2.14</v>
      </c>
    </row>
    <row r="6">
      <c r="A6" s="14" t="inlineStr">
        <is>
          <t>Default prep time (weeks)</t>
        </is>
      </c>
      <c r="B6" s="15" t="n">
        <v>1</v>
      </c>
    </row>
    <row r="7">
      <c r="A7" s="14" t="inlineStr">
        <is>
          <t>Numbering format</t>
        </is>
      </c>
      <c r="B7" s="11" t="inlineStr">
        <is>
          <t>Specification Section number, a sequential alphanumeric identifier, and an alphanumeric suffix for each resubmittal (for example 092913.01, then 092913.01.A).</t>
        </is>
      </c>
    </row>
    <row r="8">
      <c r="A8" s="14" t="inlineStr">
        <is>
          <t>Copies and format</t>
        </is>
      </c>
      <c r="B8" s="11" t="inlineStr">
        <is>
          <t>Submit as PDF uploaded to the web-based project management software, with a paper transmittal when required. Samples for verification: three sets (Architect keeps two). Shop drawings and design data: six copies plus one electronic copy where a section states a count. Action and informational submittals from the same section go in separate packages.</t>
        </is>
      </c>
    </row>
    <row r="9">
      <c r="A9" s="14" t="inlineStr">
        <is>
          <t>Source of rules</t>
        </is>
      </c>
      <c r="B9" s="11" t="inlineStr">
        <is>
          <t>Section 01 33 00 Submittal Procedures (pages 48 to 53), Section 01 77 00 Closeout Procedures, Section 01 29 00 Payment Procedures</t>
        </is>
      </c>
    </row>
    <row r="11">
      <c r="A11" s="14" t="inlineStr">
        <is>
          <t>Project-wide submittal requirements</t>
        </is>
      </c>
    </row>
    <row r="12">
      <c r="A12" s="16" t="inlineStr">
        <is>
          <t>1.</t>
        </is>
      </c>
      <c r="B12" s="17" t="inlineStr">
        <is>
          <t>Initial review is 15 days (about 2.1 weeks) from the Architect's receipt. Each resubmittal review is another 15 days. Where sequential review by consultants or the Owner is indicated, allow 21 days for the initial review.</t>
        </is>
      </c>
    </row>
    <row r="13">
      <c r="A13" s="16" t="inlineStr">
        <is>
          <t>2.</t>
        </is>
      </c>
      <c r="B13" s="17" t="inlineStr">
        <is>
          <t>No extension of Contract Time is allowed for submittals sent too late to be processed, including resubmittals.</t>
        </is>
      </c>
    </row>
    <row r="14">
      <c r="A14" s="16" t="inlineStr">
        <is>
          <t>3.</t>
        </is>
      </c>
      <c r="B14" s="17" t="inlineStr">
        <is>
          <t>Initial submittal schedule must cover the first 60 days of construction and any long-lead items, and goes in with the startup construction schedule. The final schedule goes in with the first complete construction schedule.</t>
        </is>
      </c>
    </row>
    <row r="15">
      <c r="A15" s="16" t="inlineStr">
        <is>
          <t>4.</t>
        </is>
      </c>
      <c r="B15" s="17" t="inlineStr">
        <is>
          <t>Submit all items for a section together unless the approved submittal schedule allows partial submittals. Submit product data before shop drawings, and before or with samples.</t>
        </is>
      </c>
    </row>
    <row r="16">
      <c r="A16" s="16" t="inlineStr">
        <is>
          <t>5.</t>
        </is>
      </c>
      <c r="B16" s="17" t="inlineStr">
        <is>
          <t>Indicate deviations from the Contract Documents on each submittal, and identify options that need the Architect's selection.</t>
        </is>
      </c>
    </row>
    <row r="17">
      <c r="A17" s="16" t="inlineStr">
        <is>
          <t>6.</t>
        </is>
      </c>
      <c r="B17" s="17" t="inlineStr">
        <is>
          <t>The Architect returns without review any submittal that is incomplete, not reviewed and approved by the Contractor, received from anyone but the Contractor, or not required by the Contract Documents.</t>
        </is>
      </c>
    </row>
    <row r="18">
      <c r="A18" s="16" t="inlineStr">
        <is>
          <t>7.</t>
        </is>
      </c>
      <c r="B18" s="17" t="inlineStr">
        <is>
          <t>Use only final action submittals marked with the Architect's approval notation for construction.</t>
        </is>
      </c>
    </row>
    <row r="19">
      <c r="A19" s="16" t="inlineStr">
        <is>
          <t>8.</t>
        </is>
      </c>
      <c r="B19" s="17" t="inlineStr">
        <is>
          <t>Closeout items are due at least 10 days before the Substantial Completion inspection request.</t>
        </is>
      </c>
    </row>
    <row r="20">
      <c r="A20" s="16" t="inlineStr">
        <is>
          <t>9.</t>
        </is>
      </c>
      <c r="B20" s="17" t="inlineStr">
        <is>
          <t>Substitution requests (Section 01 25 00) are contractor-initiated and are not in this register.</t>
        </is>
      </c>
    </row>
    <row r="21">
      <c r="A21" s="16" t="inlineStr">
        <is>
          <t>10.</t>
        </is>
      </c>
      <c r="B21" s="17" t="inlineStr">
        <is>
          <t>Fire protection piping and sprinkler shop drawings go to the local Fire Marshal and the Owner's insurance underwriter before the Architect.</t>
        </is>
      </c>
    </row>
    <row r="22">
      <c r="A22" s="16" t="inlineStr">
        <is>
          <t>11.</t>
        </is>
      </c>
      <c r="B22" s="17" t="inlineStr">
        <is>
          <t>Prep time of 1 week is an assumption, not a spec requirement.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14" customWidth="1" min="1" max="1"/>
    <col width="12" customWidth="1" min="2" max="2"/>
    <col width="26" customWidth="1" min="3" max="3"/>
    <col width="14" customWidth="1" min="4" max="4"/>
    <col width="10" customWidth="1" min="5" max="5"/>
    <col width="40" customWidth="1" min="6" max="6"/>
    <col width="90" customWidth="1" min="7" max="7"/>
    <col width="18" customWidth="1" min="8" max="8"/>
  </cols>
  <sheetData>
    <row r="1">
      <c r="A1" s="1" t="inlineStr">
        <is>
          <t>Review Queue</t>
        </is>
      </c>
    </row>
    <row r="2">
      <c r="A2" s="2" t="inlineStr">
        <is>
          <t>Items the extraction could not place with confidence. Confirm each, then edit or delete its row on the Register sheet.</t>
        </is>
      </c>
    </row>
    <row r="4">
      <c r="A4" s="3" t="inlineStr">
        <is>
          <t>Sub #</t>
        </is>
      </c>
      <c r="B4" s="3" t="inlineStr">
        <is>
          <t>Spec Section</t>
        </is>
      </c>
      <c r="C4" s="3" t="inlineStr">
        <is>
          <t>Section Title</t>
        </is>
      </c>
      <c r="D4" s="3" t="inlineStr">
        <is>
          <t>Spec Ref</t>
        </is>
      </c>
      <c r="E4" s="3" t="inlineStr">
        <is>
          <t>Type</t>
        </is>
      </c>
      <c r="F4" s="3" t="inlineStr">
        <is>
          <t>Why it needs review</t>
        </is>
      </c>
      <c r="G4" s="3" t="inlineStr">
        <is>
          <t>Spec text</t>
        </is>
      </c>
      <c r="H4" s="3" t="inlineStr">
        <is>
          <t>Decision</t>
        </is>
      </c>
    </row>
    <row r="5">
      <c r="A5" s="4" t="inlineStr">
        <is>
          <t>013300.02</t>
        </is>
      </c>
      <c r="B5" s="4" t="inlineStr">
        <is>
          <t>01 33 00</t>
        </is>
      </c>
      <c r="C5" s="5" t="inlineStr">
        <is>
          <t>Submittal Procedures</t>
        </is>
      </c>
      <c r="D5" s="4" t="inlineStr">
        <is>
          <t>1.7.B p.52</t>
        </is>
      </c>
      <c r="E5" s="4" t="inlineStr">
        <is>
          <t>CERT</t>
        </is>
      </c>
      <c r="F5" s="5" t="inlineStr">
        <is>
          <t>Applies only where a section assigns design to the Contractor. Radiology Vol B has 05 45 23 (metal supports) and 09 22 16 (metal framing). Confirm others.</t>
        </is>
      </c>
      <c r="G5" s="5" t="inlineStr">
        <is>
          <t>Submit digitally signed PDF certificate, signed and sealed by the responsible design professional, for each product and system assigned to the Contractor to design or certify.</t>
        </is>
      </c>
      <c r="H5" s="7" t="inlineStr"/>
    </row>
    <row r="6">
      <c r="A6" s="4" t="inlineStr">
        <is>
          <t>134900.04</t>
        </is>
      </c>
      <c r="B6" s="4" t="inlineStr">
        <is>
          <t>13 49 00</t>
        </is>
      </c>
      <c r="C6" s="5" t="inlineStr">
        <is>
          <t>Radiation Protection</t>
        </is>
      </c>
      <c r="D6" s="4" t="inlineStr">
        <is>
          <t>1.5.A p.198</t>
        </is>
      </c>
      <c r="E6" s="4" t="inlineStr">
        <is>
          <t>CERT</t>
        </is>
      </c>
      <c r="F6" s="5" t="inlineStr">
        <is>
          <t>Text says flush wood door manufacturer under a radiation protection section. Probably a carry-over. Confirm.</t>
        </is>
      </c>
      <c r="G6" s="5" t="inlineStr">
        <is>
          <t>Qualification Data: For flush wood door manufacturer.</t>
        </is>
      </c>
      <c r="H6" s="7" t="inlineStr"/>
    </row>
    <row r="7">
      <c r="A7" s="4" t="inlineStr">
        <is>
          <t>211100.01</t>
        </is>
      </c>
      <c r="B7" s="4" t="inlineStr">
        <is>
          <t>21 11 00</t>
        </is>
      </c>
      <c r="C7" s="5" t="inlineStr">
        <is>
          <t>Fire Protection Piping</t>
        </is>
      </c>
      <c r="D7" s="4" t="inlineStr">
        <is>
          <t>1.05.A-D p.222</t>
        </is>
      </c>
      <c r="E7" s="4" t="inlineStr">
        <is>
          <t>SD+PD+CALC</t>
        </is>
      </c>
      <c r="F7" s="5" t="inlineStr">
        <is>
          <t>Review time for the Fire Marshal and insurance underwriter is not stated. Confirm lead time with the sprinkler contractor.</t>
        </is>
      </c>
      <c r="G7" s="5" t="inlineStr">
        <is>
          <t>Prior to submittal to Architect, submit shop drawings, product data, and hydraulic calculations to local Fire Marshal and Owner's Insurance. After approval from local Fire Marshal and Owner's Insurance Underwriter, submit shop drawings, product data, and hydraulic calculations to Architect (with Certificate of Approval from local Fire Marshal and Owner's Insurance Underwriter for approval in accordance with Division 01 and Section 21 0010. Indicate pipe materials used, jointing methods, supports, floor and wall penetration seals. Indicate valve data and ratings.</t>
        </is>
      </c>
      <c r="H7" s="7" t="inlineStr"/>
    </row>
    <row r="8">
      <c r="A8" s="4" t="inlineStr">
        <is>
          <t>211300.01</t>
        </is>
      </c>
      <c r="B8" s="4" t="inlineStr">
        <is>
          <t>21 13 00</t>
        </is>
      </c>
      <c r="C8" s="5" t="inlineStr">
        <is>
          <t>Automatic Sprinkler Systems</t>
        </is>
      </c>
      <c r="D8" s="4" t="inlineStr">
        <is>
          <t>1.06.A-C p.224</t>
        </is>
      </c>
      <c r="E8" s="4" t="inlineStr">
        <is>
          <t>SD+PD+CALC</t>
        </is>
      </c>
      <c r="F8" s="5" t="inlineStr">
        <is>
          <t>Review time for the Fire Marshal and insurance underwriter is not stated. Confirm lead time with the sprinkler contractor.</t>
        </is>
      </c>
      <c r="G8" s="5" t="inlineStr">
        <is>
          <t>Prior to submittal to Architect submit shop drawings, product data, and hydraulic calculations to local Fire Marshal and Owner's Insurance Underwriter. After approval from local Fire Marshal and Owner's Insurance Underwriter submit shop drawings, product data and hydraulic calculations to Architect (with Certificate of Approval from local Fire Marshal and Owner's Insurance Underwriter) for approval in accordance with Division 01 and Section 21 0010. Indicate hydraulic calculations, detailed pipe layout, hangers and supports, components and accessories.</t>
        </is>
      </c>
      <c r="H8" s="7" t="inlineStr"/>
    </row>
    <row r="9">
      <c r="A9" s="4" t="inlineStr">
        <is>
          <t>220529.01</t>
        </is>
      </c>
      <c r="B9" s="4" t="inlineStr">
        <is>
          <t>22 05 29</t>
        </is>
      </c>
      <c r="C9" s="5" t="inlineStr">
        <is>
          <t>Plumbing Supports And Anchors</t>
        </is>
      </c>
      <c r="D9" s="4" t="inlineStr">
        <is>
          <t>1.03.A p.240</t>
        </is>
      </c>
      <c r="E9" s="4" t="inlineStr">
        <is>
          <t>PD</t>
        </is>
      </c>
      <c r="F9" s="5" t="inlineStr">
        <is>
          <t>Reads as a cross-reference to Division 01. Likely a duplicate of 1.03.B.</t>
        </is>
      </c>
      <c r="G9" s="5" t="inlineStr">
        <is>
          <t>Submit product data as required under provisions of Division 01 and Section 22 0010.</t>
        </is>
      </c>
      <c r="H9" s="7" t="inlineStr"/>
    </row>
    <row r="10">
      <c r="A10" s="4" t="inlineStr">
        <is>
          <t>260527.01</t>
        </is>
      </c>
      <c r="B10" s="4" t="inlineStr">
        <is>
          <t>26 05 27</t>
        </is>
      </c>
      <c r="C10" s="5" t="inlineStr">
        <is>
          <t>Sealing Of Penetrations</t>
        </is>
      </c>
      <c r="D10" s="4" t="inlineStr">
        <is>
          <t>1.02.A p.333</t>
        </is>
      </c>
      <c r="E10" s="4" t="inlineStr">
        <is>
          <t>SAM</t>
        </is>
      </c>
      <c r="F10" s="5" t="inlineStr">
        <is>
          <t>Request-only item. Confirm whether to track it.</t>
        </is>
      </c>
      <c r="G10" s="5" t="inlineStr">
        <is>
          <t>Samples: Provide samples upon written request.</t>
        </is>
      </c>
      <c r="H10" s="7" t="inlineStr"/>
    </row>
    <row r="11">
      <c r="A11" s="4" t="inlineStr">
        <is>
          <t>265113.03</t>
        </is>
      </c>
      <c r="B11" s="4" t="inlineStr">
        <is>
          <t>26 51 13</t>
        </is>
      </c>
      <c r="C11" s="5" t="inlineStr">
        <is>
          <t>Lighting</t>
        </is>
      </c>
      <c r="D11" s="4" t="inlineStr">
        <is>
          <t>1.02.C p.353</t>
        </is>
      </c>
      <c r="E11" s="4" t="inlineStr">
        <is>
          <t>SAM</t>
        </is>
      </c>
      <c r="F11" s="5" t="inlineStr">
        <is>
          <t>Request-only item. Confirm whether to track it.</t>
        </is>
      </c>
      <c r="G11" s="5" t="inlineStr">
        <is>
          <t>If required by Architect, submit samples of lighting fixtures for approval.</t>
        </is>
      </c>
      <c r="H11" s="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77"/>
  <sheetViews>
    <sheetView workbookViewId="0">
      <pane ySplit="3" topLeftCell="A4" activePane="bottomLeft" state="frozen"/>
      <selection pane="bottomLeft" activeCell="A1" sqref="A1"/>
    </sheetView>
  </sheetViews>
  <sheetFormatPr baseColWidth="8" defaultRowHeight="15"/>
  <cols>
    <col width="14" customWidth="1" min="1" max="1"/>
    <col width="44" customWidth="1" min="2" max="2"/>
    <col width="12" customWidth="1" min="3" max="3"/>
    <col width="12" customWidth="1" min="4" max="4"/>
    <col width="10" customWidth="1" min="5" max="5"/>
  </cols>
  <sheetData>
    <row r="1">
      <c r="A1" s="1" t="inlineStr">
        <is>
          <t>Submittals by Spec Section</t>
        </is>
      </c>
    </row>
    <row r="3">
      <c r="A3" s="3" t="inlineStr">
        <is>
          <t>Spec Section</t>
        </is>
      </c>
      <c r="B3" s="3" t="inlineStr">
        <is>
          <t>Section Title</t>
        </is>
      </c>
      <c r="C3" s="3" t="inlineStr">
        <is>
          <t>Submittals</t>
        </is>
      </c>
      <c r="D3" s="3" t="inlineStr">
        <is>
          <t>Approved</t>
        </is>
      </c>
      <c r="E3" s="3" t="inlineStr">
        <is>
          <t>Open</t>
        </is>
      </c>
    </row>
    <row r="4">
      <c r="A4" s="18" t="inlineStr">
        <is>
          <t>01 21 00</t>
        </is>
      </c>
      <c r="B4" s="18" t="inlineStr">
        <is>
          <t>Allowances</t>
        </is>
      </c>
      <c r="C4" s="18">
        <f>COUNTIF(Register!$D$5:$D$247,A4)</f>
        <v/>
      </c>
      <c r="D4" s="18">
        <f>COUNTIFS(Register!$D$5:$D$247,A4,Register!$P$5:$P$247,"Approved")+COUNTIFS(Register!$D$5:$D$247,A4,Register!$P$5:$P$247,"Approved as Noted")</f>
        <v/>
      </c>
      <c r="E4" s="18">
        <f>C4-D4</f>
        <v/>
      </c>
    </row>
    <row r="5">
      <c r="A5" s="18" t="inlineStr">
        <is>
          <t>01 29 00</t>
        </is>
      </c>
      <c r="B5" s="18" t="inlineStr">
        <is>
          <t>Payment Procedures</t>
        </is>
      </c>
      <c r="C5" s="18">
        <f>COUNTIF(Register!$D$5:$D$247,A5)</f>
        <v/>
      </c>
      <c r="D5" s="18">
        <f>COUNTIFS(Register!$D$5:$D$247,A5,Register!$P$5:$P$247,"Approved")+COUNTIFS(Register!$D$5:$D$247,A5,Register!$P$5:$P$247,"Approved as Noted")</f>
        <v/>
      </c>
      <c r="E5" s="18">
        <f>C5-D5</f>
        <v/>
      </c>
    </row>
    <row r="6">
      <c r="A6" s="18" t="inlineStr">
        <is>
          <t>01 31 00</t>
        </is>
      </c>
      <c r="B6" s="18" t="inlineStr">
        <is>
          <t>Project Management And Coordination</t>
        </is>
      </c>
      <c r="C6" s="18">
        <f>COUNTIF(Register!$D$5:$D$247,A6)</f>
        <v/>
      </c>
      <c r="D6" s="18">
        <f>COUNTIFS(Register!$D$5:$D$247,A6,Register!$P$5:$P$247,"Approved")+COUNTIFS(Register!$D$5:$D$247,A6,Register!$P$5:$P$247,"Approved as Noted")</f>
        <v/>
      </c>
      <c r="E6" s="18">
        <f>C6-D6</f>
        <v/>
      </c>
    </row>
    <row r="7">
      <c r="A7" s="18" t="inlineStr">
        <is>
          <t>01 32 00</t>
        </is>
      </c>
      <c r="B7" s="18" t="inlineStr">
        <is>
          <t>Construction Progress Documentation</t>
        </is>
      </c>
      <c r="C7" s="18">
        <f>COUNTIF(Register!$D$5:$D$247,A7)</f>
        <v/>
      </c>
      <c r="D7" s="18">
        <f>COUNTIFS(Register!$D$5:$D$247,A7,Register!$P$5:$P$247,"Approved")+COUNTIFS(Register!$D$5:$D$247,A7,Register!$P$5:$P$247,"Approved as Noted")</f>
        <v/>
      </c>
      <c r="E7" s="18">
        <f>C7-D7</f>
        <v/>
      </c>
    </row>
    <row r="8">
      <c r="A8" s="18" t="inlineStr">
        <is>
          <t>01 32 33</t>
        </is>
      </c>
      <c r="B8" s="18" t="inlineStr">
        <is>
          <t>Photographic Documentation</t>
        </is>
      </c>
      <c r="C8" s="18">
        <f>COUNTIF(Register!$D$5:$D$247,A8)</f>
        <v/>
      </c>
      <c r="D8" s="18">
        <f>COUNTIFS(Register!$D$5:$D$247,A8,Register!$P$5:$P$247,"Approved")+COUNTIFS(Register!$D$5:$D$247,A8,Register!$P$5:$P$247,"Approved as Noted")</f>
        <v/>
      </c>
      <c r="E8" s="18">
        <f>C8-D8</f>
        <v/>
      </c>
    </row>
    <row r="9">
      <c r="A9" s="18" t="inlineStr">
        <is>
          <t>01 33 00</t>
        </is>
      </c>
      <c r="B9" s="18" t="inlineStr">
        <is>
          <t>Submittal Procedures</t>
        </is>
      </c>
      <c r="C9" s="18">
        <f>COUNTIF(Register!$D$5:$D$247,A9)</f>
        <v/>
      </c>
      <c r="D9" s="18">
        <f>COUNTIFS(Register!$D$5:$D$247,A9,Register!$P$5:$P$247,"Approved")+COUNTIFS(Register!$D$5:$D$247,A9,Register!$P$5:$P$247,"Approved as Noted")</f>
        <v/>
      </c>
      <c r="E9" s="18">
        <f>C9-D9</f>
        <v/>
      </c>
    </row>
    <row r="10">
      <c r="A10" s="18" t="inlineStr">
        <is>
          <t>01 35 13</t>
        </is>
      </c>
      <c r="B10" s="18" t="inlineStr">
        <is>
          <t>Hospital Project Procedures</t>
        </is>
      </c>
      <c r="C10" s="18">
        <f>COUNTIF(Register!$D$5:$D$247,A10)</f>
        <v/>
      </c>
      <c r="D10" s="18">
        <f>COUNTIFS(Register!$D$5:$D$247,A10,Register!$P$5:$P$247,"Approved")+COUNTIFS(Register!$D$5:$D$247,A10,Register!$P$5:$P$247,"Approved as Noted")</f>
        <v/>
      </c>
      <c r="E10" s="18">
        <f>C10-D10</f>
        <v/>
      </c>
    </row>
    <row r="11">
      <c r="A11" s="18" t="inlineStr">
        <is>
          <t>01 35 16</t>
        </is>
      </c>
      <c r="B11" s="18" t="inlineStr">
        <is>
          <t>Alteration Project Procedures</t>
        </is>
      </c>
      <c r="C11" s="18">
        <f>COUNTIF(Register!$D$5:$D$247,A11)</f>
        <v/>
      </c>
      <c r="D11" s="18">
        <f>COUNTIFS(Register!$D$5:$D$247,A11,Register!$P$5:$P$247,"Approved")+COUNTIFS(Register!$D$5:$D$247,A11,Register!$P$5:$P$247,"Approved as Noted")</f>
        <v/>
      </c>
      <c r="E11" s="18">
        <f>C11-D11</f>
        <v/>
      </c>
    </row>
    <row r="12">
      <c r="A12" s="18" t="inlineStr">
        <is>
          <t>01 40 00</t>
        </is>
      </c>
      <c r="B12" s="18" t="inlineStr">
        <is>
          <t>Quality Requirements</t>
        </is>
      </c>
      <c r="C12" s="18">
        <f>COUNTIF(Register!$D$5:$D$247,A12)</f>
        <v/>
      </c>
      <c r="D12" s="18">
        <f>COUNTIFS(Register!$D$5:$D$247,A12,Register!$P$5:$P$247,"Approved")+COUNTIFS(Register!$D$5:$D$247,A12,Register!$P$5:$P$247,"Approved as Noted")</f>
        <v/>
      </c>
      <c r="E12" s="18">
        <f>C12-D12</f>
        <v/>
      </c>
    </row>
    <row r="13">
      <c r="A13" s="18" t="inlineStr">
        <is>
          <t>01 50 00</t>
        </is>
      </c>
      <c r="B13" s="18" t="inlineStr">
        <is>
          <t>Temporary Facilities And Controls</t>
        </is>
      </c>
      <c r="C13" s="18">
        <f>COUNTIF(Register!$D$5:$D$247,A13)</f>
        <v/>
      </c>
      <c r="D13" s="18">
        <f>COUNTIFS(Register!$D$5:$D$247,A13,Register!$P$5:$P$247,"Approved")+COUNTIFS(Register!$D$5:$D$247,A13,Register!$P$5:$P$247,"Approved as Noted")</f>
        <v/>
      </c>
      <c r="E13" s="18">
        <f>C13-D13</f>
        <v/>
      </c>
    </row>
    <row r="14">
      <c r="A14" s="18" t="inlineStr">
        <is>
          <t>01 57 19</t>
        </is>
      </c>
      <c r="B14" s="18" t="inlineStr">
        <is>
          <t>Temporary Environmental Controls</t>
        </is>
      </c>
      <c r="C14" s="18">
        <f>COUNTIF(Register!$D$5:$D$247,A14)</f>
        <v/>
      </c>
      <c r="D14" s="18">
        <f>COUNTIFS(Register!$D$5:$D$247,A14,Register!$P$5:$P$247,"Approved")+COUNTIFS(Register!$D$5:$D$247,A14,Register!$P$5:$P$247,"Approved as Noted")</f>
        <v/>
      </c>
      <c r="E14" s="18">
        <f>C14-D14</f>
        <v/>
      </c>
    </row>
    <row r="15">
      <c r="A15" s="18" t="inlineStr">
        <is>
          <t>01 73 00</t>
        </is>
      </c>
      <c r="B15" s="18" t="inlineStr">
        <is>
          <t>Execution</t>
        </is>
      </c>
      <c r="C15" s="18">
        <f>COUNTIF(Register!$D$5:$D$247,A15)</f>
        <v/>
      </c>
      <c r="D15" s="18">
        <f>COUNTIFS(Register!$D$5:$D$247,A15,Register!$P$5:$P$247,"Approved")+COUNTIFS(Register!$D$5:$D$247,A15,Register!$P$5:$P$247,"Approved as Noted")</f>
        <v/>
      </c>
      <c r="E15" s="18">
        <f>C15-D15</f>
        <v/>
      </c>
    </row>
    <row r="16">
      <c r="A16" s="18" t="inlineStr">
        <is>
          <t>01 77 00</t>
        </is>
      </c>
      <c r="B16" s="18" t="inlineStr">
        <is>
          <t>Closeout Procedures</t>
        </is>
      </c>
      <c r="C16" s="18">
        <f>COUNTIF(Register!$D$5:$D$247,A16)</f>
        <v/>
      </c>
      <c r="D16" s="18">
        <f>COUNTIFS(Register!$D$5:$D$247,A16,Register!$P$5:$P$247,"Approved")+COUNTIFS(Register!$D$5:$D$247,A16,Register!$P$5:$P$247,"Approved as Noted")</f>
        <v/>
      </c>
      <c r="E16" s="18">
        <f>C16-D16</f>
        <v/>
      </c>
    </row>
    <row r="17">
      <c r="A17" s="18" t="inlineStr">
        <is>
          <t>01 78 23</t>
        </is>
      </c>
      <c r="B17" s="18" t="inlineStr">
        <is>
          <t>Operation And Maintenance Data</t>
        </is>
      </c>
      <c r="C17" s="18">
        <f>COUNTIF(Register!$D$5:$D$247,A17)</f>
        <v/>
      </c>
      <c r="D17" s="18">
        <f>COUNTIFS(Register!$D$5:$D$247,A17,Register!$P$5:$P$247,"Approved")+COUNTIFS(Register!$D$5:$D$247,A17,Register!$P$5:$P$247,"Approved as Noted")</f>
        <v/>
      </c>
      <c r="E17" s="18">
        <f>C17-D17</f>
        <v/>
      </c>
    </row>
    <row r="18">
      <c r="A18" s="18" t="inlineStr">
        <is>
          <t>01 78 39</t>
        </is>
      </c>
      <c r="B18" s="18" t="inlineStr">
        <is>
          <t>Project Record Documents</t>
        </is>
      </c>
      <c r="C18" s="18">
        <f>COUNTIF(Register!$D$5:$D$247,A18)</f>
        <v/>
      </c>
      <c r="D18" s="18">
        <f>COUNTIFS(Register!$D$5:$D$247,A18,Register!$P$5:$P$247,"Approved")+COUNTIFS(Register!$D$5:$D$247,A18,Register!$P$5:$P$247,"Approved as Noted")</f>
        <v/>
      </c>
      <c r="E18" s="18">
        <f>C18-D18</f>
        <v/>
      </c>
    </row>
    <row r="19">
      <c r="A19" s="18" t="inlineStr">
        <is>
          <t>01 79 00</t>
        </is>
      </c>
      <c r="B19" s="18" t="inlineStr">
        <is>
          <t>Demonstration And Training</t>
        </is>
      </c>
      <c r="C19" s="18">
        <f>COUNTIF(Register!$D$5:$D$247,A19)</f>
        <v/>
      </c>
      <c r="D19" s="18">
        <f>COUNTIFS(Register!$D$5:$D$247,A19,Register!$P$5:$P$247,"Approved")+COUNTIFS(Register!$D$5:$D$247,A19,Register!$P$5:$P$247,"Approved as Noted")</f>
        <v/>
      </c>
      <c r="E19" s="18">
        <f>C19-D19</f>
        <v/>
      </c>
    </row>
    <row r="20">
      <c r="A20" s="18" t="inlineStr">
        <is>
          <t>02 41 21</t>
        </is>
      </c>
      <c r="B20" s="18" t="inlineStr">
        <is>
          <t>Work At Existing Facility</t>
        </is>
      </c>
      <c r="C20" s="18">
        <f>COUNTIF(Register!$D$5:$D$247,A20)</f>
        <v/>
      </c>
      <c r="D20" s="18">
        <f>COUNTIFS(Register!$D$5:$D$247,A20,Register!$P$5:$P$247,"Approved")+COUNTIFS(Register!$D$5:$D$247,A20,Register!$P$5:$P$247,"Approved as Noted")</f>
        <v/>
      </c>
      <c r="E20" s="18">
        <f>C20-D20</f>
        <v/>
      </c>
    </row>
    <row r="21">
      <c r="A21" s="18" t="inlineStr">
        <is>
          <t>03 54 16</t>
        </is>
      </c>
      <c r="B21" s="18" t="inlineStr">
        <is>
          <t>Hydraulic Cement Underlayment</t>
        </is>
      </c>
      <c r="C21" s="18">
        <f>COUNTIF(Register!$D$5:$D$247,A21)</f>
        <v/>
      </c>
      <c r="D21" s="18">
        <f>COUNTIFS(Register!$D$5:$D$247,A21,Register!$P$5:$P$247,"Approved")+COUNTIFS(Register!$D$5:$D$247,A21,Register!$P$5:$P$247,"Approved as Noted")</f>
        <v/>
      </c>
      <c r="E21" s="18">
        <f>C21-D21</f>
        <v/>
      </c>
    </row>
    <row r="22">
      <c r="A22" s="18" t="inlineStr">
        <is>
          <t>05 45 23</t>
        </is>
      </c>
      <c r="B22" s="18" t="inlineStr">
        <is>
          <t>Healthcare Metal Supports</t>
        </is>
      </c>
      <c r="C22" s="18">
        <f>COUNTIF(Register!$D$5:$D$247,A22)</f>
        <v/>
      </c>
      <c r="D22" s="18">
        <f>COUNTIFS(Register!$D$5:$D$247,A22,Register!$P$5:$P$247,"Approved")+COUNTIFS(Register!$D$5:$D$247,A22,Register!$P$5:$P$247,"Approved as Noted")</f>
        <v/>
      </c>
      <c r="E22" s="18">
        <f>C22-D22</f>
        <v/>
      </c>
    </row>
    <row r="23">
      <c r="A23" s="18" t="inlineStr">
        <is>
          <t>06 10 53</t>
        </is>
      </c>
      <c r="B23" s="18" t="inlineStr">
        <is>
          <t>Miscellaneous Rough Carpentry</t>
        </is>
      </c>
      <c r="C23" s="18">
        <f>COUNTIF(Register!$D$5:$D$247,A23)</f>
        <v/>
      </c>
      <c r="D23" s="18">
        <f>COUNTIFS(Register!$D$5:$D$247,A23,Register!$P$5:$P$247,"Approved")+COUNTIFS(Register!$D$5:$D$247,A23,Register!$P$5:$P$247,"Approved as Noted")</f>
        <v/>
      </c>
      <c r="E23" s="18">
        <f>C23-D23</f>
        <v/>
      </c>
    </row>
    <row r="24">
      <c r="A24" s="18" t="inlineStr">
        <is>
          <t>06 41 16</t>
        </is>
      </c>
      <c r="B24" s="18" t="inlineStr">
        <is>
          <t>Plastic-Laminate-Clad Architectural Cabinets</t>
        </is>
      </c>
      <c r="C24" s="18">
        <f>COUNTIF(Register!$D$5:$D$247,A24)</f>
        <v/>
      </c>
      <c r="D24" s="18">
        <f>COUNTIFS(Register!$D$5:$D$247,A24,Register!$P$5:$P$247,"Approved")+COUNTIFS(Register!$D$5:$D$247,A24,Register!$P$5:$P$247,"Approved as Noted")</f>
        <v/>
      </c>
      <c r="E24" s="18">
        <f>C24-D24</f>
        <v/>
      </c>
    </row>
    <row r="25">
      <c r="A25" s="18" t="inlineStr">
        <is>
          <t>07 84 13</t>
        </is>
      </c>
      <c r="B25" s="18" t="inlineStr">
        <is>
          <t>Penetration Firestopping</t>
        </is>
      </c>
      <c r="C25" s="18">
        <f>COUNTIF(Register!$D$5:$D$247,A25)</f>
        <v/>
      </c>
      <c r="D25" s="18">
        <f>COUNTIFS(Register!$D$5:$D$247,A25,Register!$P$5:$P$247,"Approved")+COUNTIFS(Register!$D$5:$D$247,A25,Register!$P$5:$P$247,"Approved as Noted")</f>
        <v/>
      </c>
      <c r="E25" s="18">
        <f>C25-D25</f>
        <v/>
      </c>
    </row>
    <row r="26">
      <c r="A26" s="18" t="inlineStr">
        <is>
          <t>07 84 43</t>
        </is>
      </c>
      <c r="B26" s="18" t="inlineStr">
        <is>
          <t>Joint Firestopping</t>
        </is>
      </c>
      <c r="C26" s="18">
        <f>COUNTIF(Register!$D$5:$D$247,A26)</f>
        <v/>
      </c>
      <c r="D26" s="18">
        <f>COUNTIFS(Register!$D$5:$D$247,A26,Register!$P$5:$P$247,"Approved")+COUNTIFS(Register!$D$5:$D$247,A26,Register!$P$5:$P$247,"Approved as Noted")</f>
        <v/>
      </c>
      <c r="E26" s="18">
        <f>C26-D26</f>
        <v/>
      </c>
    </row>
    <row r="27">
      <c r="A27" s="18" t="inlineStr">
        <is>
          <t>07 92 00</t>
        </is>
      </c>
      <c r="B27" s="18" t="inlineStr">
        <is>
          <t>Joint Sealants</t>
        </is>
      </c>
      <c r="C27" s="18">
        <f>COUNTIF(Register!$D$5:$D$247,A27)</f>
        <v/>
      </c>
      <c r="D27" s="18">
        <f>COUNTIFS(Register!$D$5:$D$247,A27,Register!$P$5:$P$247,"Approved")+COUNTIFS(Register!$D$5:$D$247,A27,Register!$P$5:$P$247,"Approved as Noted")</f>
        <v/>
      </c>
      <c r="E27" s="18">
        <f>C27-D27</f>
        <v/>
      </c>
    </row>
    <row r="28">
      <c r="A28" s="18" t="inlineStr">
        <is>
          <t>07 92 19</t>
        </is>
      </c>
      <c r="B28" s="18" t="inlineStr">
        <is>
          <t>Acoustical Joint Sealants</t>
        </is>
      </c>
      <c r="C28" s="18">
        <f>COUNTIF(Register!$D$5:$D$247,A28)</f>
        <v/>
      </c>
      <c r="D28" s="18">
        <f>COUNTIFS(Register!$D$5:$D$247,A28,Register!$P$5:$P$247,"Approved")+COUNTIFS(Register!$D$5:$D$247,A28,Register!$P$5:$P$247,"Approved as Noted")</f>
        <v/>
      </c>
      <c r="E28" s="18">
        <f>C28-D28</f>
        <v/>
      </c>
    </row>
    <row r="29">
      <c r="A29" s="18" t="inlineStr">
        <is>
          <t>09 22 16</t>
        </is>
      </c>
      <c r="B29" s="18" t="inlineStr">
        <is>
          <t>Non-Structural Metal Framing</t>
        </is>
      </c>
      <c r="C29" s="18">
        <f>COUNTIF(Register!$D$5:$D$247,A29)</f>
        <v/>
      </c>
      <c r="D29" s="18">
        <f>COUNTIFS(Register!$D$5:$D$247,A29,Register!$P$5:$P$247,"Approved")+COUNTIFS(Register!$D$5:$D$247,A29,Register!$P$5:$P$247,"Approved as Noted")</f>
        <v/>
      </c>
      <c r="E29" s="18">
        <f>C29-D29</f>
        <v/>
      </c>
    </row>
    <row r="30">
      <c r="A30" s="18" t="inlineStr">
        <is>
          <t>09 29 00</t>
        </is>
      </c>
      <c r="B30" s="18" t="inlineStr">
        <is>
          <t>Gypsum Board</t>
        </is>
      </c>
      <c r="C30" s="18">
        <f>COUNTIF(Register!$D$5:$D$247,A30)</f>
        <v/>
      </c>
      <c r="D30" s="18">
        <f>COUNTIFS(Register!$D$5:$D$247,A30,Register!$P$5:$P$247,"Approved")+COUNTIFS(Register!$D$5:$D$247,A30,Register!$P$5:$P$247,"Approved as Noted")</f>
        <v/>
      </c>
      <c r="E30" s="18">
        <f>C30-D30</f>
        <v/>
      </c>
    </row>
    <row r="31">
      <c r="A31" s="18" t="inlineStr">
        <is>
          <t>09 51 13</t>
        </is>
      </c>
      <c r="B31" s="18" t="inlineStr">
        <is>
          <t>Acoustical Panel Ceilings</t>
        </is>
      </c>
      <c r="C31" s="18">
        <f>COUNTIF(Register!$D$5:$D$247,A31)</f>
        <v/>
      </c>
      <c r="D31" s="18">
        <f>COUNTIFS(Register!$D$5:$D$247,A31,Register!$P$5:$P$247,"Approved")+COUNTIFS(Register!$D$5:$D$247,A31,Register!$P$5:$P$247,"Approved as Noted")</f>
        <v/>
      </c>
      <c r="E31" s="18">
        <f>C31-D31</f>
        <v/>
      </c>
    </row>
    <row r="32">
      <c r="A32" s="18" t="inlineStr">
        <is>
          <t>09 65 16</t>
        </is>
      </c>
      <c r="B32" s="18" t="inlineStr">
        <is>
          <t>Resilient Sheet Flooring</t>
        </is>
      </c>
      <c r="C32" s="18">
        <f>COUNTIF(Register!$D$5:$D$247,A32)</f>
        <v/>
      </c>
      <c r="D32" s="18">
        <f>COUNTIFS(Register!$D$5:$D$247,A32,Register!$P$5:$P$247,"Approved")+COUNTIFS(Register!$D$5:$D$247,A32,Register!$P$5:$P$247,"Approved as Noted")</f>
        <v/>
      </c>
      <c r="E32" s="18">
        <f>C32-D32</f>
        <v/>
      </c>
    </row>
    <row r="33">
      <c r="A33" s="18" t="inlineStr">
        <is>
          <t>09 81 16</t>
        </is>
      </c>
      <c r="B33" s="18" t="inlineStr">
        <is>
          <t>Acoustical Blanket Insulation</t>
        </is>
      </c>
      <c r="C33" s="18">
        <f>COUNTIF(Register!$D$5:$D$247,A33)</f>
        <v/>
      </c>
      <c r="D33" s="18">
        <f>COUNTIFS(Register!$D$5:$D$247,A33,Register!$P$5:$P$247,"Approved")+COUNTIFS(Register!$D$5:$D$247,A33,Register!$P$5:$P$247,"Approved as Noted")</f>
        <v/>
      </c>
      <c r="E33" s="18">
        <f>C33-D33</f>
        <v/>
      </c>
    </row>
    <row r="34">
      <c r="A34" s="18" t="inlineStr">
        <is>
          <t>09 91 23</t>
        </is>
      </c>
      <c r="B34" s="18" t="inlineStr">
        <is>
          <t>Interior Painting</t>
        </is>
      </c>
      <c r="C34" s="18">
        <f>COUNTIF(Register!$D$5:$D$247,A34)</f>
        <v/>
      </c>
      <c r="D34" s="18">
        <f>COUNTIFS(Register!$D$5:$D$247,A34,Register!$P$5:$P$247,"Approved")+COUNTIFS(Register!$D$5:$D$247,A34,Register!$P$5:$P$247,"Approved as Noted")</f>
        <v/>
      </c>
      <c r="E34" s="18">
        <f>C34-D34</f>
        <v/>
      </c>
    </row>
    <row r="35">
      <c r="A35" s="18" t="inlineStr">
        <is>
          <t>10 14 00</t>
        </is>
      </c>
      <c r="B35" s="18" t="inlineStr">
        <is>
          <t>Signage</t>
        </is>
      </c>
      <c r="C35" s="18">
        <f>COUNTIF(Register!$D$5:$D$247,A35)</f>
        <v/>
      </c>
      <c r="D35" s="18">
        <f>COUNTIFS(Register!$D$5:$D$247,A35,Register!$P$5:$P$247,"Approved")+COUNTIFS(Register!$D$5:$D$247,A35,Register!$P$5:$P$247,"Approved as Noted")</f>
        <v/>
      </c>
      <c r="E35" s="18">
        <f>C35-D35</f>
        <v/>
      </c>
    </row>
    <row r="36">
      <c r="A36" s="18" t="inlineStr">
        <is>
          <t>10 26 00</t>
        </is>
      </c>
      <c r="B36" s="18" t="inlineStr">
        <is>
          <t>Wall And Door Protection</t>
        </is>
      </c>
      <c r="C36" s="18">
        <f>COUNTIF(Register!$D$5:$D$247,A36)</f>
        <v/>
      </c>
      <c r="D36" s="18">
        <f>COUNTIFS(Register!$D$5:$D$247,A36,Register!$P$5:$P$247,"Approved")+COUNTIFS(Register!$D$5:$D$247,A36,Register!$P$5:$P$247,"Approved as Noted")</f>
        <v/>
      </c>
      <c r="E36" s="18">
        <f>C36-D36</f>
        <v/>
      </c>
    </row>
    <row r="37">
      <c r="A37" s="18" t="inlineStr">
        <is>
          <t>10 28 00</t>
        </is>
      </c>
      <c r="B37" s="18" t="inlineStr">
        <is>
          <t>Toilet, Bath, And Laundry Accessories</t>
        </is>
      </c>
      <c r="C37" s="18">
        <f>COUNTIF(Register!$D$5:$D$247,A37)</f>
        <v/>
      </c>
      <c r="D37" s="18">
        <f>COUNTIFS(Register!$D$5:$D$247,A37,Register!$P$5:$P$247,"Approved")+COUNTIFS(Register!$D$5:$D$247,A37,Register!$P$5:$P$247,"Approved as Noted")</f>
        <v/>
      </c>
      <c r="E37" s="18">
        <f>C37-D37</f>
        <v/>
      </c>
    </row>
    <row r="38">
      <c r="A38" s="18" t="inlineStr">
        <is>
          <t>12 36 61.16</t>
        </is>
      </c>
      <c r="B38" s="18" t="inlineStr">
        <is>
          <t>Solid Surfacing Countertops</t>
        </is>
      </c>
      <c r="C38" s="18">
        <f>COUNTIF(Register!$D$5:$D$247,A38)</f>
        <v/>
      </c>
      <c r="D38" s="18">
        <f>COUNTIFS(Register!$D$5:$D$247,A38,Register!$P$5:$P$247,"Approved")+COUNTIFS(Register!$D$5:$D$247,A38,Register!$P$5:$P$247,"Approved as Noted")</f>
        <v/>
      </c>
      <c r="E38" s="18">
        <f>C38-D38</f>
        <v/>
      </c>
    </row>
    <row r="39">
      <c r="A39" s="18" t="inlineStr">
        <is>
          <t>13 49 00</t>
        </is>
      </c>
      <c r="B39" s="18" t="inlineStr">
        <is>
          <t>Radiation Protection</t>
        </is>
      </c>
      <c r="C39" s="18">
        <f>COUNTIF(Register!$D$5:$D$247,A39)</f>
        <v/>
      </c>
      <c r="D39" s="18">
        <f>COUNTIFS(Register!$D$5:$D$247,A39,Register!$P$5:$P$247,"Approved")+COUNTIFS(Register!$D$5:$D$247,A39,Register!$P$5:$P$247,"Approved as Noted")</f>
        <v/>
      </c>
      <c r="E39" s="18">
        <f>C39-D39</f>
        <v/>
      </c>
    </row>
    <row r="40">
      <c r="A40" s="18" t="inlineStr">
        <is>
          <t>21 00 10</t>
        </is>
      </c>
      <c r="B40" s="18" t="inlineStr">
        <is>
          <t>Basic Fire Protection Requirements</t>
        </is>
      </c>
      <c r="C40" s="18">
        <f>COUNTIF(Register!$D$5:$D$247,A40)</f>
        <v/>
      </c>
      <c r="D40" s="18">
        <f>COUNTIFS(Register!$D$5:$D$247,A40,Register!$P$5:$P$247,"Approved")+COUNTIFS(Register!$D$5:$D$247,A40,Register!$P$5:$P$247,"Approved as Noted")</f>
        <v/>
      </c>
      <c r="E40" s="18">
        <f>C40-D40</f>
        <v/>
      </c>
    </row>
    <row r="41">
      <c r="A41" s="18" t="inlineStr">
        <is>
          <t>21 11 00</t>
        </is>
      </c>
      <c r="B41" s="18" t="inlineStr">
        <is>
          <t>Fire Protection Piping</t>
        </is>
      </c>
      <c r="C41" s="18">
        <f>COUNTIF(Register!$D$5:$D$247,A41)</f>
        <v/>
      </c>
      <c r="D41" s="18">
        <f>COUNTIFS(Register!$D$5:$D$247,A41,Register!$P$5:$P$247,"Approved")+COUNTIFS(Register!$D$5:$D$247,A41,Register!$P$5:$P$247,"Approved as Noted")</f>
        <v/>
      </c>
      <c r="E41" s="18">
        <f>C41-D41</f>
        <v/>
      </c>
    </row>
    <row r="42">
      <c r="A42" s="18" t="inlineStr">
        <is>
          <t>21 13 00</t>
        </is>
      </c>
      <c r="B42" s="18" t="inlineStr">
        <is>
          <t>Automatic Sprinkler Systems</t>
        </is>
      </c>
      <c r="C42" s="18">
        <f>COUNTIF(Register!$D$5:$D$247,A42)</f>
        <v/>
      </c>
      <c r="D42" s="18">
        <f>COUNTIFS(Register!$D$5:$D$247,A42,Register!$P$5:$P$247,"Approved")+COUNTIFS(Register!$D$5:$D$247,A42,Register!$P$5:$P$247,"Approved as Noted")</f>
        <v/>
      </c>
      <c r="E42" s="18">
        <f>C42-D42</f>
        <v/>
      </c>
    </row>
    <row r="43">
      <c r="A43" s="18" t="inlineStr">
        <is>
          <t>22 00 10</t>
        </is>
      </c>
      <c r="B43" s="18" t="inlineStr">
        <is>
          <t>Basic Plumbing Requirements</t>
        </is>
      </c>
      <c r="C43" s="18">
        <f>COUNTIF(Register!$D$5:$D$247,A43)</f>
        <v/>
      </c>
      <c r="D43" s="18">
        <f>COUNTIFS(Register!$D$5:$D$247,A43,Register!$P$5:$P$247,"Approved")+COUNTIFS(Register!$D$5:$D$247,A43,Register!$P$5:$P$247,"Approved as Noted")</f>
        <v/>
      </c>
      <c r="E43" s="18">
        <f>C43-D43</f>
        <v/>
      </c>
    </row>
    <row r="44">
      <c r="A44" s="18" t="inlineStr">
        <is>
          <t>22 05 29</t>
        </is>
      </c>
      <c r="B44" s="18" t="inlineStr">
        <is>
          <t>Plumbing Supports And Anchors</t>
        </is>
      </c>
      <c r="C44" s="18">
        <f>COUNTIF(Register!$D$5:$D$247,A44)</f>
        <v/>
      </c>
      <c r="D44" s="18">
        <f>COUNTIFS(Register!$D$5:$D$247,A44,Register!$P$5:$P$247,"Approved")+COUNTIFS(Register!$D$5:$D$247,A44,Register!$P$5:$P$247,"Approved as Noted")</f>
        <v/>
      </c>
      <c r="E44" s="18">
        <f>C44-D44</f>
        <v/>
      </c>
    </row>
    <row r="45">
      <c r="A45" s="18" t="inlineStr">
        <is>
          <t>22 05 53</t>
        </is>
      </c>
      <c r="B45" s="18" t="inlineStr">
        <is>
          <t>Plumbing Identification</t>
        </is>
      </c>
      <c r="C45" s="18">
        <f>COUNTIF(Register!$D$5:$D$247,A45)</f>
        <v/>
      </c>
      <c r="D45" s="18">
        <f>COUNTIFS(Register!$D$5:$D$247,A45,Register!$P$5:$P$247,"Approved")+COUNTIFS(Register!$D$5:$D$247,A45,Register!$P$5:$P$247,"Approved as Noted")</f>
        <v/>
      </c>
      <c r="E45" s="18">
        <f>C45-D45</f>
        <v/>
      </c>
    </row>
    <row r="46">
      <c r="A46" s="18" t="inlineStr">
        <is>
          <t>22 07 16</t>
        </is>
      </c>
      <c r="B46" s="18" t="inlineStr">
        <is>
          <t>Plumbing Piping Insulation</t>
        </is>
      </c>
      <c r="C46" s="18">
        <f>COUNTIF(Register!$D$5:$D$247,A46)</f>
        <v/>
      </c>
      <c r="D46" s="18">
        <f>COUNTIFS(Register!$D$5:$D$247,A46,Register!$P$5:$P$247,"Approved")+COUNTIFS(Register!$D$5:$D$247,A46,Register!$P$5:$P$247,"Approved as Noted")</f>
        <v/>
      </c>
      <c r="E46" s="18">
        <f>C46-D46</f>
        <v/>
      </c>
    </row>
    <row r="47">
      <c r="A47" s="18" t="inlineStr">
        <is>
          <t>22 10 00</t>
        </is>
      </c>
      <c r="B47" s="18" t="inlineStr">
        <is>
          <t>Plumbing Piping</t>
        </is>
      </c>
      <c r="C47" s="18">
        <f>COUNTIF(Register!$D$5:$D$247,A47)</f>
        <v/>
      </c>
      <c r="D47" s="18">
        <f>COUNTIFS(Register!$D$5:$D$247,A47,Register!$P$5:$P$247,"Approved")+COUNTIFS(Register!$D$5:$D$247,A47,Register!$P$5:$P$247,"Approved as Noted")</f>
        <v/>
      </c>
      <c r="E47" s="18">
        <f>C47-D47</f>
        <v/>
      </c>
    </row>
    <row r="48">
      <c r="A48" s="18" t="inlineStr">
        <is>
          <t>22 10 01</t>
        </is>
      </c>
      <c r="B48" s="18" t="inlineStr">
        <is>
          <t>Plumbing Specialties</t>
        </is>
      </c>
      <c r="C48" s="18">
        <f>COUNTIF(Register!$D$5:$D$247,A48)</f>
        <v/>
      </c>
      <c r="D48" s="18">
        <f>COUNTIFS(Register!$D$5:$D$247,A48,Register!$P$5:$P$247,"Approved")+COUNTIFS(Register!$D$5:$D$247,A48,Register!$P$5:$P$247,"Approved as Noted")</f>
        <v/>
      </c>
      <c r="E48" s="18">
        <f>C48-D48</f>
        <v/>
      </c>
    </row>
    <row r="49">
      <c r="A49" s="18" t="inlineStr">
        <is>
          <t>22 11 19</t>
        </is>
      </c>
      <c r="B49" s="18" t="inlineStr">
        <is>
          <t>Piping Specialties</t>
        </is>
      </c>
      <c r="C49" s="18">
        <f>COUNTIF(Register!$D$5:$D$247,A49)</f>
        <v/>
      </c>
      <c r="D49" s="18">
        <f>COUNTIFS(Register!$D$5:$D$247,A49,Register!$P$5:$P$247,"Approved")+COUNTIFS(Register!$D$5:$D$247,A49,Register!$P$5:$P$247,"Approved as Noted")</f>
        <v/>
      </c>
      <c r="E49" s="18">
        <f>C49-D49</f>
        <v/>
      </c>
    </row>
    <row r="50">
      <c r="A50" s="18" t="inlineStr">
        <is>
          <t>22 40 01</t>
        </is>
      </c>
      <c r="B50" s="18" t="inlineStr">
        <is>
          <t>Plumbing Fixtures</t>
        </is>
      </c>
      <c r="C50" s="18">
        <f>COUNTIF(Register!$D$5:$D$247,A50)</f>
        <v/>
      </c>
      <c r="D50" s="18">
        <f>COUNTIFS(Register!$D$5:$D$247,A50,Register!$P$5:$P$247,"Approved")+COUNTIFS(Register!$D$5:$D$247,A50,Register!$P$5:$P$247,"Approved as Noted")</f>
        <v/>
      </c>
      <c r="E50" s="18">
        <f>C50-D50</f>
        <v/>
      </c>
    </row>
    <row r="51">
      <c r="A51" s="18" t="inlineStr">
        <is>
          <t>22 60 00</t>
        </is>
      </c>
      <c r="B51" s="18" t="inlineStr">
        <is>
          <t>Medical Piping</t>
        </is>
      </c>
      <c r="C51" s="18">
        <f>COUNTIF(Register!$D$5:$D$247,A51)</f>
        <v/>
      </c>
      <c r="D51" s="18">
        <f>COUNTIFS(Register!$D$5:$D$247,A51,Register!$P$5:$P$247,"Approved")+COUNTIFS(Register!$D$5:$D$247,A51,Register!$P$5:$P$247,"Approved as Noted")</f>
        <v/>
      </c>
      <c r="E51" s="18">
        <f>C51-D51</f>
        <v/>
      </c>
    </row>
    <row r="52">
      <c r="A52" s="18" t="inlineStr">
        <is>
          <t>22 60 01</t>
        </is>
      </c>
      <c r="B52" s="18" t="inlineStr">
        <is>
          <t>Medical Equipment</t>
        </is>
      </c>
      <c r="C52" s="18">
        <f>COUNTIF(Register!$D$5:$D$247,A52)</f>
        <v/>
      </c>
      <c r="D52" s="18">
        <f>COUNTIFS(Register!$D$5:$D$247,A52,Register!$P$5:$P$247,"Approved")+COUNTIFS(Register!$D$5:$D$247,A52,Register!$P$5:$P$247,"Approved as Noted")</f>
        <v/>
      </c>
      <c r="E52" s="18">
        <f>C52-D52</f>
        <v/>
      </c>
    </row>
    <row r="53">
      <c r="A53" s="18" t="inlineStr">
        <is>
          <t>23 00 10</t>
        </is>
      </c>
      <c r="B53" s="18" t="inlineStr">
        <is>
          <t>Basic Mechanical Requirements</t>
        </is>
      </c>
      <c r="C53" s="18">
        <f>COUNTIF(Register!$D$5:$D$247,A53)</f>
        <v/>
      </c>
      <c r="D53" s="18">
        <f>COUNTIFS(Register!$D$5:$D$247,A53,Register!$P$5:$P$247,"Approved")+COUNTIFS(Register!$D$5:$D$247,A53,Register!$P$5:$P$247,"Approved as Noted")</f>
        <v/>
      </c>
      <c r="E53" s="18">
        <f>C53-D53</f>
        <v/>
      </c>
    </row>
    <row r="54">
      <c r="A54" s="18" t="inlineStr">
        <is>
          <t>23 05 93</t>
        </is>
      </c>
      <c r="B54" s="18" t="inlineStr">
        <is>
          <t>Mechanical Testing, Adjusting And Balancing</t>
        </is>
      </c>
      <c r="C54" s="18">
        <f>COUNTIF(Register!$D$5:$D$247,A54)</f>
        <v/>
      </c>
      <c r="D54" s="18">
        <f>COUNTIFS(Register!$D$5:$D$247,A54,Register!$P$5:$P$247,"Approved")+COUNTIFS(Register!$D$5:$D$247,A54,Register!$P$5:$P$247,"Approved as Noted")</f>
        <v/>
      </c>
      <c r="E54" s="18">
        <f>C54-D54</f>
        <v/>
      </c>
    </row>
    <row r="55">
      <c r="A55" s="18" t="inlineStr">
        <is>
          <t>23 07 13</t>
        </is>
      </c>
      <c r="B55" s="18" t="inlineStr">
        <is>
          <t>Hvac Duct Insulation</t>
        </is>
      </c>
      <c r="C55" s="18">
        <f>COUNTIF(Register!$D$5:$D$247,A55)</f>
        <v/>
      </c>
      <c r="D55" s="18">
        <f>COUNTIFS(Register!$D$5:$D$247,A55,Register!$P$5:$P$247,"Approved")+COUNTIFS(Register!$D$5:$D$247,A55,Register!$P$5:$P$247,"Approved as Noted")</f>
        <v/>
      </c>
      <c r="E55" s="18">
        <f>C55-D55</f>
        <v/>
      </c>
    </row>
    <row r="56">
      <c r="A56" s="18" t="inlineStr">
        <is>
          <t>23 31 13</t>
        </is>
      </c>
      <c r="B56" s="18" t="inlineStr">
        <is>
          <t>Metal Ductwork</t>
        </is>
      </c>
      <c r="C56" s="18">
        <f>COUNTIF(Register!$D$5:$D$247,A56)</f>
        <v/>
      </c>
      <c r="D56" s="18">
        <f>COUNTIFS(Register!$D$5:$D$247,A56,Register!$P$5:$P$247,"Approved")+COUNTIFS(Register!$D$5:$D$247,A56,Register!$P$5:$P$247,"Approved as Noted")</f>
        <v/>
      </c>
      <c r="E56" s="18">
        <f>C56-D56</f>
        <v/>
      </c>
    </row>
    <row r="57">
      <c r="A57" s="18" t="inlineStr">
        <is>
          <t>23 31 13.19</t>
        </is>
      </c>
      <c r="B57" s="18" t="inlineStr">
        <is>
          <t>Ductwork Accessories</t>
        </is>
      </c>
      <c r="C57" s="18">
        <f>COUNTIF(Register!$D$5:$D$247,A57)</f>
        <v/>
      </c>
      <c r="D57" s="18">
        <f>COUNTIFS(Register!$D$5:$D$247,A57,Register!$P$5:$P$247,"Approved")+COUNTIFS(Register!$D$5:$D$247,A57,Register!$P$5:$P$247,"Approved as Noted")</f>
        <v/>
      </c>
      <c r="E57" s="18">
        <f>C57-D57</f>
        <v/>
      </c>
    </row>
    <row r="58">
      <c r="A58" s="18" t="inlineStr">
        <is>
          <t>23 37 13</t>
        </is>
      </c>
      <c r="B58" s="18" t="inlineStr">
        <is>
          <t>Air Outlets And Inlets</t>
        </is>
      </c>
      <c r="C58" s="18">
        <f>COUNTIF(Register!$D$5:$D$247,A58)</f>
        <v/>
      </c>
      <c r="D58" s="18">
        <f>COUNTIFS(Register!$D$5:$D$247,A58,Register!$P$5:$P$247,"Approved")+COUNTIFS(Register!$D$5:$D$247,A58,Register!$P$5:$P$247,"Approved as Noted")</f>
        <v/>
      </c>
      <c r="E58" s="18">
        <f>C58-D58</f>
        <v/>
      </c>
    </row>
    <row r="59">
      <c r="A59" s="18" t="inlineStr">
        <is>
          <t>23 89 65</t>
        </is>
      </c>
      <c r="B59" s="18" t="inlineStr">
        <is>
          <t>Motor Controllers</t>
        </is>
      </c>
      <c r="C59" s="18">
        <f>COUNTIF(Register!$D$5:$D$247,A59)</f>
        <v/>
      </c>
      <c r="D59" s="18">
        <f>COUNTIFS(Register!$D$5:$D$247,A59,Register!$P$5:$P$247,"Approved")+COUNTIFS(Register!$D$5:$D$247,A59,Register!$P$5:$P$247,"Approved as Noted")</f>
        <v/>
      </c>
      <c r="E59" s="18">
        <f>C59-D59</f>
        <v/>
      </c>
    </row>
    <row r="60">
      <c r="A60" s="18" t="inlineStr">
        <is>
          <t>26 05 10</t>
        </is>
      </c>
      <c r="B60" s="18" t="inlineStr">
        <is>
          <t>General Requirements For Electrical Work</t>
        </is>
      </c>
      <c r="C60" s="18">
        <f>COUNTIF(Register!$D$5:$D$247,A60)</f>
        <v/>
      </c>
      <c r="D60" s="18">
        <f>COUNTIFS(Register!$D$5:$D$247,A60,Register!$P$5:$P$247,"Approved")+COUNTIFS(Register!$D$5:$D$247,A60,Register!$P$5:$P$247,"Approved as Noted")</f>
        <v/>
      </c>
      <c r="E60" s="18">
        <f>C60-D60</f>
        <v/>
      </c>
    </row>
    <row r="61">
      <c r="A61" s="18" t="inlineStr">
        <is>
          <t>26 05 19</t>
        </is>
      </c>
      <c r="B61" s="18" t="inlineStr">
        <is>
          <t>Wires And Cables</t>
        </is>
      </c>
      <c r="C61" s="18">
        <f>COUNTIF(Register!$D$5:$D$247,A61)</f>
        <v/>
      </c>
      <c r="D61" s="18">
        <f>COUNTIFS(Register!$D$5:$D$247,A61,Register!$P$5:$P$247,"Approved")+COUNTIFS(Register!$D$5:$D$247,A61,Register!$P$5:$P$247,"Approved as Noted")</f>
        <v/>
      </c>
      <c r="E61" s="18">
        <f>C61-D61</f>
        <v/>
      </c>
    </row>
    <row r="62">
      <c r="A62" s="18" t="inlineStr">
        <is>
          <t>26 05 20</t>
        </is>
      </c>
      <c r="B62" s="18" t="inlineStr">
        <is>
          <t>Wire Connection And Devices</t>
        </is>
      </c>
      <c r="C62" s="18">
        <f>COUNTIF(Register!$D$5:$D$247,A62)</f>
        <v/>
      </c>
      <c r="D62" s="18">
        <f>COUNTIFS(Register!$D$5:$D$247,A62,Register!$P$5:$P$247,"Approved")+COUNTIFS(Register!$D$5:$D$247,A62,Register!$P$5:$P$247,"Approved as Noted")</f>
        <v/>
      </c>
      <c r="E62" s="18">
        <f>C62-D62</f>
        <v/>
      </c>
    </row>
    <row r="63">
      <c r="A63" s="18" t="inlineStr">
        <is>
          <t>26 05 26</t>
        </is>
      </c>
      <c r="B63" s="18" t="inlineStr">
        <is>
          <t>Grounding</t>
        </is>
      </c>
      <c r="C63" s="18">
        <f>COUNTIF(Register!$D$5:$D$247,A63)</f>
        <v/>
      </c>
      <c r="D63" s="18">
        <f>COUNTIFS(Register!$D$5:$D$247,A63,Register!$P$5:$P$247,"Approved")+COUNTIFS(Register!$D$5:$D$247,A63,Register!$P$5:$P$247,"Approved as Noted")</f>
        <v/>
      </c>
      <c r="E63" s="18">
        <f>C63-D63</f>
        <v/>
      </c>
    </row>
    <row r="64">
      <c r="A64" s="18" t="inlineStr">
        <is>
          <t>26 05 27</t>
        </is>
      </c>
      <c r="B64" s="18" t="inlineStr">
        <is>
          <t>Sealing Of Penetrations</t>
        </is>
      </c>
      <c r="C64" s="18">
        <f>COUNTIF(Register!$D$5:$D$247,A64)</f>
        <v/>
      </c>
      <c r="D64" s="18">
        <f>COUNTIFS(Register!$D$5:$D$247,A64,Register!$P$5:$P$247,"Approved")+COUNTIFS(Register!$D$5:$D$247,A64,Register!$P$5:$P$247,"Approved as Noted")</f>
        <v/>
      </c>
      <c r="E64" s="18">
        <f>C64-D64</f>
        <v/>
      </c>
    </row>
    <row r="65">
      <c r="A65" s="18" t="inlineStr">
        <is>
          <t>26 05 29</t>
        </is>
      </c>
      <c r="B65" s="18" t="inlineStr">
        <is>
          <t>Supporting Devices</t>
        </is>
      </c>
      <c r="C65" s="18">
        <f>COUNTIF(Register!$D$5:$D$247,A65)</f>
        <v/>
      </c>
      <c r="D65" s="18">
        <f>COUNTIFS(Register!$D$5:$D$247,A65,Register!$P$5:$P$247,"Approved")+COUNTIFS(Register!$D$5:$D$247,A65,Register!$P$5:$P$247,"Approved as Noted")</f>
        <v/>
      </c>
      <c r="E65" s="18">
        <f>C65-D65</f>
        <v/>
      </c>
    </row>
    <row r="66">
      <c r="A66" s="18" t="inlineStr">
        <is>
          <t>26 05 32</t>
        </is>
      </c>
      <c r="B66" s="18" t="inlineStr">
        <is>
          <t>Pull And Junction Boxes</t>
        </is>
      </c>
      <c r="C66" s="18">
        <f>COUNTIF(Register!$D$5:$D$247,A66)</f>
        <v/>
      </c>
      <c r="D66" s="18">
        <f>COUNTIFS(Register!$D$5:$D$247,A66,Register!$P$5:$P$247,"Approved")+COUNTIFS(Register!$D$5:$D$247,A66,Register!$P$5:$P$247,"Approved as Noted")</f>
        <v/>
      </c>
      <c r="E66" s="18">
        <f>C66-D66</f>
        <v/>
      </c>
    </row>
    <row r="67">
      <c r="A67" s="18" t="inlineStr">
        <is>
          <t>26 05 33</t>
        </is>
      </c>
      <c r="B67" s="18" t="inlineStr">
        <is>
          <t>Conduits</t>
        </is>
      </c>
      <c r="C67" s="18">
        <f>COUNTIF(Register!$D$5:$D$247,A67)</f>
        <v/>
      </c>
      <c r="D67" s="18">
        <f>COUNTIFS(Register!$D$5:$D$247,A67,Register!$P$5:$P$247,"Approved")+COUNTIFS(Register!$D$5:$D$247,A67,Register!$P$5:$P$247,"Approved as Noted")</f>
        <v/>
      </c>
      <c r="E67" s="18">
        <f>C67-D67</f>
        <v/>
      </c>
    </row>
    <row r="68">
      <c r="A68" s="18" t="inlineStr">
        <is>
          <t>26 05 34</t>
        </is>
      </c>
      <c r="B68" s="18" t="inlineStr">
        <is>
          <t>Outlet Boxes</t>
        </is>
      </c>
      <c r="C68" s="18">
        <f>COUNTIF(Register!$D$5:$D$247,A68)</f>
        <v/>
      </c>
      <c r="D68" s="18">
        <f>COUNTIFS(Register!$D$5:$D$247,A68,Register!$P$5:$P$247,"Approved")+COUNTIFS(Register!$D$5:$D$247,A68,Register!$P$5:$P$247,"Approved as Noted")</f>
        <v/>
      </c>
      <c r="E68" s="18">
        <f>C68-D68</f>
        <v/>
      </c>
    </row>
    <row r="69">
      <c r="A69" s="18" t="inlineStr">
        <is>
          <t>26 05 35</t>
        </is>
      </c>
      <c r="B69" s="18" t="inlineStr">
        <is>
          <t>Wireway</t>
        </is>
      </c>
      <c r="C69" s="18">
        <f>COUNTIF(Register!$D$5:$D$247,A69)</f>
        <v/>
      </c>
      <c r="D69" s="18">
        <f>COUNTIFS(Register!$D$5:$D$247,A69,Register!$P$5:$P$247,"Approved")+COUNTIFS(Register!$D$5:$D$247,A69,Register!$P$5:$P$247,"Approved as Noted")</f>
        <v/>
      </c>
      <c r="E69" s="18">
        <f>C69-D69</f>
        <v/>
      </c>
    </row>
    <row r="70">
      <c r="A70" s="18" t="inlineStr">
        <is>
          <t>26 27 16</t>
        </is>
      </c>
      <c r="B70" s="18" t="inlineStr">
        <is>
          <t>Cabinets</t>
        </is>
      </c>
      <c r="C70" s="18">
        <f>COUNTIF(Register!$D$5:$D$247,A70)</f>
        <v/>
      </c>
      <c r="D70" s="18">
        <f>COUNTIFS(Register!$D$5:$D$247,A70,Register!$P$5:$P$247,"Approved")+COUNTIFS(Register!$D$5:$D$247,A70,Register!$P$5:$P$247,"Approved as Noted")</f>
        <v/>
      </c>
      <c r="E70" s="18">
        <f>C70-D70</f>
        <v/>
      </c>
    </row>
    <row r="71">
      <c r="A71" s="18" t="inlineStr">
        <is>
          <t>26 27 26</t>
        </is>
      </c>
      <c r="B71" s="18" t="inlineStr">
        <is>
          <t>Wiring Devices</t>
        </is>
      </c>
      <c r="C71" s="18">
        <f>COUNTIF(Register!$D$5:$D$247,A71)</f>
        <v/>
      </c>
      <c r="D71" s="18">
        <f>COUNTIFS(Register!$D$5:$D$247,A71,Register!$P$5:$P$247,"Approved")+COUNTIFS(Register!$D$5:$D$247,A71,Register!$P$5:$P$247,"Approved as Noted")</f>
        <v/>
      </c>
      <c r="E71" s="18">
        <f>C71-D71</f>
        <v/>
      </c>
    </row>
    <row r="72">
      <c r="A72" s="18" t="inlineStr">
        <is>
          <t>26 28 16</t>
        </is>
      </c>
      <c r="B72" s="18" t="inlineStr">
        <is>
          <t>Overcurrent Protective Devices</t>
        </is>
      </c>
      <c r="C72" s="18">
        <f>COUNTIF(Register!$D$5:$D$247,A72)</f>
        <v/>
      </c>
      <c r="D72" s="18">
        <f>COUNTIFS(Register!$D$5:$D$247,A72,Register!$P$5:$P$247,"Approved")+COUNTIFS(Register!$D$5:$D$247,A72,Register!$P$5:$P$247,"Approved as Noted")</f>
        <v/>
      </c>
      <c r="E72" s="18">
        <f>C72-D72</f>
        <v/>
      </c>
    </row>
    <row r="73">
      <c r="A73" s="18" t="inlineStr">
        <is>
          <t>26 28 17</t>
        </is>
      </c>
      <c r="B73" s="18" t="inlineStr">
        <is>
          <t>Disconnect Switches</t>
        </is>
      </c>
      <c r="C73" s="18">
        <f>COUNTIF(Register!$D$5:$D$247,A73)</f>
        <v/>
      </c>
      <c r="D73" s="18">
        <f>COUNTIFS(Register!$D$5:$D$247,A73,Register!$P$5:$P$247,"Approved")+COUNTIFS(Register!$D$5:$D$247,A73,Register!$P$5:$P$247,"Approved as Noted")</f>
        <v/>
      </c>
      <c r="E73" s="18">
        <f>C73-D73</f>
        <v/>
      </c>
    </row>
    <row r="74">
      <c r="A74" s="18" t="inlineStr">
        <is>
          <t>26 29 13</t>
        </is>
      </c>
      <c r="B74" s="18" t="inlineStr">
        <is>
          <t>Motors, Motor Starters And Controls</t>
        </is>
      </c>
      <c r="C74" s="18">
        <f>COUNTIF(Register!$D$5:$D$247,A74)</f>
        <v/>
      </c>
      <c r="D74" s="18">
        <f>COUNTIFS(Register!$D$5:$D$247,A74,Register!$P$5:$P$247,"Approved")+COUNTIFS(Register!$D$5:$D$247,A74,Register!$P$5:$P$247,"Approved as Noted")</f>
        <v/>
      </c>
      <c r="E74" s="18">
        <f>C74-D74</f>
        <v/>
      </c>
    </row>
    <row r="75">
      <c r="A75" s="18" t="inlineStr">
        <is>
          <t>26 51 13</t>
        </is>
      </c>
      <c r="B75" s="18" t="inlineStr">
        <is>
          <t>Lighting</t>
        </is>
      </c>
      <c r="C75" s="18">
        <f>COUNTIF(Register!$D$5:$D$247,A75)</f>
        <v/>
      </c>
      <c r="D75" s="18">
        <f>COUNTIFS(Register!$D$5:$D$247,A75,Register!$P$5:$P$247,"Approved")+COUNTIFS(Register!$D$5:$D$247,A75,Register!$P$5:$P$247,"Approved as Noted")</f>
        <v/>
      </c>
      <c r="E75" s="18">
        <f>C75-D75</f>
        <v/>
      </c>
    </row>
    <row r="76">
      <c r="A76" s="18" t="inlineStr">
        <is>
          <t>27 05 28</t>
        </is>
      </c>
      <c r="B76" s="18" t="inlineStr">
        <is>
          <t>Empty Conduit Systems</t>
        </is>
      </c>
      <c r="C76" s="18">
        <f>COUNTIF(Register!$D$5:$D$247,A76)</f>
        <v/>
      </c>
      <c r="D76" s="18">
        <f>COUNTIFS(Register!$D$5:$D$247,A76,Register!$P$5:$P$247,"Approved")+COUNTIFS(Register!$D$5:$D$247,A76,Register!$P$5:$P$247,"Approved as Noted")</f>
        <v/>
      </c>
      <c r="E76" s="18">
        <f>C76-D76</f>
        <v/>
      </c>
    </row>
    <row r="77">
      <c r="A77" s="14" t="inlineStr">
        <is>
          <t>Total</t>
        </is>
      </c>
      <c r="C77" s="19">
        <f>SUM(C4:C76)</f>
        <v/>
      </c>
      <c r="D77" s="19">
        <f>SUM(D4:D76)</f>
        <v/>
      </c>
      <c r="E77" s="19">
        <f>SUM(E4:E76)</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14" customWidth="1" min="1" max="1"/>
    <col width="80" customWidth="1" min="2" max="2"/>
  </cols>
  <sheetData>
    <row r="1">
      <c r="A1" s="1" t="inlineStr">
        <is>
          <t>Legend</t>
        </is>
      </c>
    </row>
    <row r="3">
      <c r="A3" s="3" t="inlineStr">
        <is>
          <t>Type code</t>
        </is>
      </c>
      <c r="B3" s="3" t="inlineStr">
        <is>
          <t>Meaning</t>
        </is>
      </c>
    </row>
    <row r="4">
      <c r="A4" s="14" t="inlineStr">
        <is>
          <t>PD</t>
        </is>
      </c>
      <c r="B4" s="16" t="inlineStr">
        <is>
          <t>Product data</t>
        </is>
      </c>
    </row>
    <row r="5">
      <c r="A5" s="14" t="inlineStr">
        <is>
          <t>SD</t>
        </is>
      </c>
      <c r="B5" s="16" t="inlineStr">
        <is>
          <t>Shop drawings</t>
        </is>
      </c>
    </row>
    <row r="6">
      <c r="A6" s="14" t="inlineStr">
        <is>
          <t>WD</t>
        </is>
      </c>
      <c r="B6" s="16" t="inlineStr">
        <is>
          <t>Wiring diagrams</t>
        </is>
      </c>
    </row>
    <row r="7">
      <c r="A7" s="14" t="inlineStr">
        <is>
          <t>SAM</t>
        </is>
      </c>
      <c r="B7" s="16" t="inlineStr">
        <is>
          <t>Samples</t>
        </is>
      </c>
    </row>
    <row r="8">
      <c r="A8" s="14" t="inlineStr">
        <is>
          <t>CALC</t>
        </is>
      </c>
      <c r="B8" s="16" t="inlineStr">
        <is>
          <t>Calculations</t>
        </is>
      </c>
    </row>
    <row r="9">
      <c r="A9" s="14" t="inlineStr">
        <is>
          <t>CERT</t>
        </is>
      </c>
      <c r="B9" s="16" t="inlineStr">
        <is>
          <t>Certificates, qualifications</t>
        </is>
      </c>
    </row>
    <row r="10">
      <c r="A10" s="14" t="inlineStr">
        <is>
          <t>TEST</t>
        </is>
      </c>
      <c r="B10" s="16" t="inlineStr">
        <is>
          <t>Test and inspection reports</t>
        </is>
      </c>
    </row>
    <row r="11">
      <c r="A11" s="14" t="inlineStr">
        <is>
          <t>WARR</t>
        </is>
      </c>
      <c r="B11" s="16" t="inlineStr">
        <is>
          <t>Warranties</t>
        </is>
      </c>
    </row>
    <row r="12">
      <c r="A12" s="14" t="inlineStr">
        <is>
          <t>OM</t>
        </is>
      </c>
      <c r="B12" s="16" t="inlineStr">
        <is>
          <t>Operation and maintenance data</t>
        </is>
      </c>
    </row>
    <row r="13">
      <c r="A13" s="14" t="inlineStr">
        <is>
          <t>MOCKUP</t>
        </is>
      </c>
      <c r="B13" s="16" t="inlineStr">
        <is>
          <t>Mock-ups</t>
        </is>
      </c>
    </row>
    <row r="14">
      <c r="A14" s="14" t="inlineStr">
        <is>
          <t>RECORD</t>
        </is>
      </c>
      <c r="B14" s="16" t="inlineStr">
        <is>
          <t>Record drawings and as-builts</t>
        </is>
      </c>
    </row>
    <row r="15">
      <c r="A15" s="14" t="inlineStr">
        <is>
          <t>SCHED</t>
        </is>
      </c>
      <c r="B15" s="16" t="inlineStr">
        <is>
          <t>Schedules</t>
        </is>
      </c>
    </row>
    <row r="16">
      <c r="A16" s="14" t="inlineStr">
        <is>
          <t>REPORT</t>
        </is>
      </c>
      <c r="B16" s="16" t="inlineStr">
        <is>
          <t>Surveys, statements, other reports</t>
        </is>
      </c>
    </row>
    <row r="17">
      <c r="A17" s="14" t="inlineStr">
        <is>
          <t>REF</t>
        </is>
      </c>
      <c r="B17" s="16" t="inlineStr">
        <is>
          <t>Cross-reference to another section</t>
        </is>
      </c>
    </row>
    <row r="18">
      <c r="A18" s="14" t="inlineStr">
        <is>
          <t>OTHER</t>
        </is>
      </c>
      <c r="B18" s="16" t="inlineStr">
        <is>
          <t>Not classified</t>
        </is>
      </c>
    </row>
    <row r="20">
      <c r="A20" s="14" t="inlineStr">
        <is>
          <t>Cell colors</t>
        </is>
      </c>
    </row>
    <row r="21">
      <c r="A21" s="20" t="inlineStr"/>
      <c r="B21" s="16" t="inlineStr">
        <is>
          <t>Input: edit these</t>
        </is>
      </c>
    </row>
    <row r="22">
      <c r="A22" s="21" t="inlineStr"/>
      <c r="B22" s="16" t="inlineStr">
        <is>
          <t>Needs a human decision</t>
        </is>
      </c>
    </row>
    <row r="23">
      <c r="A23" t="inlineStr"/>
      <c r="B23" s="16" t="inlineStr">
        <is>
          <t>Blue text: typed number. Green text: value linked from Project Rules. Black: formula or text.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2026-10-27T18:10:53Z</dcterms:created>
  <dcterms:modified xmlns:dcterms="http://purl.org/dc/terms/" xmlns:xsi="http://www.w3.org/2001/XMLSchema-instance" xsi:type="dcterms:W3CDTF">2026-10-27T18:10:54Z</dcterms:modified>
</cp:coreProperties>
</file>