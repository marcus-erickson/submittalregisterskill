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gister" sheetId="1" state="visible" r:id="rId3"/>
    <sheet name="Project Rules" sheetId="2" state="visible" r:id="rId4"/>
    <sheet name="Review Queue" sheetId="3" state="visible" r:id="rId5"/>
    <sheet name="By Section" sheetId="4" state="visible" r:id="rId6"/>
    <sheet name="Legend" sheetId="5" state="visible" r:id="rId7"/>
  </sheets>
  <definedNames>
    <definedName function="false" hidden="false" localSheetId="0" name="_xlnm.Print_Area" vbProcedure="false">Register!$A$1:$P$55</definedName>
    <definedName function="false" hidden="false" localSheetId="0" name="_xlnm.Print_Titles" vbProcedure="false">Register!$4:$4</definedName>
    <definedName function="false" hidden="true" localSheetId="0" name="_xlnm._FilterDatabase" vbProcedure="false">Register!$A$4:$T$55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<sst xmlns="http://schemas.openxmlformats.org/spreadsheetml/2006/main" count="636" uniqueCount="336">
  <si>
    <t xml:space="preserve">Health Sciences Simulation Lab Drainage Improvements, Northeast Texas Community College - Submittal Register</t>
  </si>
  <si>
    <t xml:space="preserve">Yellow cells are inputs. Required Approval = Install Date - Lead Time. Required Submit = Install Date - (Lead + Review + Prep). Orange rows need a human decision (see Review Queue).</t>
  </si>
  <si>
    <t xml:space="preserve">Sub #</t>
  </si>
  <si>
    <t xml:space="preserve">Rev</t>
  </si>
  <si>
    <t xml:space="preserve">Description</t>
  </si>
  <si>
    <t xml:space="preserve">Spec Section</t>
  </si>
  <si>
    <t xml:space="preserve">Section Title</t>
  </si>
  <si>
    <t xml:space="preserve">Type</t>
  </si>
  <si>
    <t xml:space="preserve">Spec Ref</t>
  </si>
  <si>
    <t xml:space="preserve">Install Date</t>
  </si>
  <si>
    <t xml:space="preserve">Lead Time (wk)</t>
  </si>
  <si>
    <t xml:space="preserve">Review (wk)</t>
  </si>
  <si>
    <t xml:space="preserve">Prep (wk)</t>
  </si>
  <si>
    <t xml:space="preserve">Required Approval</t>
  </si>
  <si>
    <t xml:space="preserve">Required Submit</t>
  </si>
  <si>
    <t xml:space="preserve">Actual Submit</t>
  </si>
  <si>
    <t xml:space="preserve">Approval Date</t>
  </si>
  <si>
    <t xml:space="preserve">Status</t>
  </si>
  <si>
    <t xml:space="preserve">Days to Due</t>
  </si>
  <si>
    <t xml:space="preserve">Origin</t>
  </si>
  <si>
    <t xml:space="preserve">Notes</t>
  </si>
  <si>
    <t xml:space="preserve">Spec Text</t>
  </si>
  <si>
    <t xml:space="preserve">012900.01</t>
  </si>
  <si>
    <t xml:space="preserve">Schedule of Values, with draft AIA G703 continuation sheets</t>
  </si>
  <si>
    <t xml:space="preserve">01 29 00</t>
  </si>
  <si>
    <t xml:space="preserve">Payment Procedures</t>
  </si>
  <si>
    <t xml:space="preserve">SCHED</t>
  </si>
  <si>
    <t xml:space="preserve">1.2.A.2 p.52</t>
  </si>
  <si>
    <t xml:space="preserve">Not Started</t>
  </si>
  <si>
    <t xml:space="preserve">Added by Claude</t>
  </si>
  <si>
    <t xml:space="preserve">Due 7 days before the first Application for Payment</t>
  </si>
  <si>
    <t xml:space="preserve">Submit the Schedule of Values to Architect at earliest possible date but no later than seven days before the date scheduled for submittal of initial Applications for Payment.</t>
  </si>
  <si>
    <t xml:space="preserve">012900.02</t>
  </si>
  <si>
    <t xml:space="preserve">List of subcontractors</t>
  </si>
  <si>
    <t xml:space="preserve">REPORT</t>
  </si>
  <si>
    <t xml:space="preserve">1.3.H.1 p.53</t>
  </si>
  <si>
    <t xml:space="preserve">Required with the first Application for Payment</t>
  </si>
  <si>
    <t xml:space="preserve">Initial Application for Payment: administrative actions and submittals that must precede or coincide with the first application include list of subcontractors.</t>
  </si>
  <si>
    <t xml:space="preserve">012900.03</t>
  </si>
  <si>
    <t xml:space="preserve">Preliminary submittals schedule</t>
  </si>
  <si>
    <t xml:space="preserve">1.3.H.5 p.53</t>
  </si>
  <si>
    <t xml:space="preserve">Initial Application for Payment ... Submittals Schedule (preliminary if not final).</t>
  </si>
  <si>
    <t xml:space="preserve">012900.04</t>
  </si>
  <si>
    <t xml:space="preserve">List of Contractor staff assignments and principal consultants</t>
  </si>
  <si>
    <t xml:space="preserve">1.3.H.6-7 p.53</t>
  </si>
  <si>
    <t xml:space="preserve">Initial Application for Payment ... list of Contractor staff assignments; list of Contractor principal consultants.</t>
  </si>
  <si>
    <t xml:space="preserve">012900.05</t>
  </si>
  <si>
    <t xml:space="preserve">Certificates of insurance and insurance policies</t>
  </si>
  <si>
    <t xml:space="preserve">CERT</t>
  </si>
  <si>
    <t xml:space="preserve">1.3.H.12 p.53</t>
  </si>
  <si>
    <t xml:space="preserve">Initial Application for Payment ... certificates of insurance and insurance policies.</t>
  </si>
  <si>
    <t xml:space="preserve">012900.06</t>
  </si>
  <si>
    <t xml:space="preserve">Waivers of mechanic's lien (partial with each Application for Payment, final at completion)</t>
  </si>
  <si>
    <t xml:space="preserve">1.3.G p.53</t>
  </si>
  <si>
    <t xml:space="preserve">Recurring, with every Application for Payment</t>
  </si>
  <si>
    <t xml:space="preserve">With each Application for Payment, submit waivers of mechanic's lien.</t>
  </si>
  <si>
    <t xml:space="preserve">013100.01</t>
  </si>
  <si>
    <t xml:space="preserve">Coordination drawings (if limited space requires maximum utilization of space)</t>
  </si>
  <si>
    <t xml:space="preserve">01 31 00</t>
  </si>
  <si>
    <t xml:space="preserve">Project Management and Coordination</t>
  </si>
  <si>
    <t xml:space="preserve">SD</t>
  </si>
  <si>
    <t xml:space="preserve">1.4.A p.56</t>
  </si>
  <si>
    <t xml:space="preserve">Spec article</t>
  </si>
  <si>
    <t xml:space="preserve">Coordination Drawings: Prepare Coordination Drawings if limited space availability necessitates maximum utilization of space for efficient installation of different components or if coordination is required for installation of products and materials fabricated by separate entities. 1. Content: Project-specific information, drawn accurately to scale. Do not base Coordination Drawings on reproductions of the Contract Documents or standard printed data. Include the following information, as applicable: a. Indicate functional and spatial relationships of components of architectural, structural, civil, mechanical, and electrical systems. b. Indicate dimensions shown on the Contract Drawings and make specific note of dimensions that appear to be in conflict with submitted equipment and minimum clearance requirements. Provide alternate sketches to Architect for resolution of such conflicts. Minor dimension changes and difficult installations will not be considered changes to the Contract. 2. Sheet Size: At least 8-1/2 by 11 inches (215 by 280 mm) but no larger than 30 by 40 inches (750 by 1000 mm). 3. Number of Copies: Submit two hard copies and one electronic copy (Adobe Portable Document Format, pdf) of each submittal. Architect will return one hard copy. 4. Refer to individual Sections for Coordination Drawing requirements for Work in those Sections.</t>
  </si>
  <si>
    <t xml:space="preserve">013216.01</t>
  </si>
  <si>
    <t xml:space="preserve">Initial progress schedule (due 15 days after Notice to Proceed)</t>
  </si>
  <si>
    <t xml:space="preserve">01 32 16</t>
  </si>
  <si>
    <t xml:space="preserve">Construction Progress Schedules</t>
  </si>
  <si>
    <t xml:space="preserve">1.4.A p.61</t>
  </si>
  <si>
    <t xml:space="preserve">Due within 15 days after Notice to Proceed</t>
  </si>
  <si>
    <t xml:space="preserve">Submit initial Progress Schedule within 15 days after date of Notice to Proceed. After review, resubmit required revised data within 10 days.</t>
  </si>
  <si>
    <t xml:space="preserve">013216.02</t>
  </si>
  <si>
    <t xml:space="preserve">Revised progress schedule (with each Application for Payment)</t>
  </si>
  <si>
    <t xml:space="preserve">1.4.B p.61</t>
  </si>
  <si>
    <t xml:space="preserve">Submit revised Progress Schedule with each Application for Payment.</t>
  </si>
  <si>
    <t xml:space="preserve">013216.03</t>
  </si>
  <si>
    <t xml:space="preserve">Schedule of submittal dates for shop drawings, product data and samples</t>
  </si>
  <si>
    <t xml:space="preserve">1.3.G p.60</t>
  </si>
  <si>
    <t xml:space="preserve">Part of the progress schedule submission</t>
  </si>
  <si>
    <t xml:space="preserve">Provide separate schedule of submittal dates for Shop Drawings, Product Data, and Samples, including dates reviewed submittals will be required from Architect.</t>
  </si>
  <si>
    <t xml:space="preserve">014000.01</t>
  </si>
  <si>
    <t xml:space="preserve">Design data and calculations, sealed by a licensed engineer where required</t>
  </si>
  <si>
    <t xml:space="preserve">01 40 00</t>
  </si>
  <si>
    <t xml:space="preserve">Quality Requirements</t>
  </si>
  <si>
    <t xml:space="preserve">CALC</t>
  </si>
  <si>
    <t xml:space="preserve">1.6.D p.69</t>
  </si>
  <si>
    <t xml:space="preserve">Only where a spec section calls for delegated design</t>
  </si>
  <si>
    <t xml:space="preserve">Submit six (6) copies, and one electronic copy in Adobe PDF format of each design data and calculation. Affix engineer's seal to submittals.</t>
  </si>
  <si>
    <t xml:space="preserve">014000.02</t>
  </si>
  <si>
    <t xml:space="preserve">Test reports and certifications for materials and products</t>
  </si>
  <si>
    <t xml:space="preserve">TEST</t>
  </si>
  <si>
    <t xml:space="preserve">1.7.D p.69</t>
  </si>
  <si>
    <t xml:space="preserve">Submit six (6) copies of each report. Test results may be recent or previous results acceptable to the Architect.</t>
  </si>
  <si>
    <t xml:space="preserve">014000.03</t>
  </si>
  <si>
    <t xml:space="preserve">Manufacturer field service reports (within 10 days of each observation)</t>
  </si>
  <si>
    <t xml:space="preserve">1.5.C p.69</t>
  </si>
  <si>
    <t xml:space="preserve">Applies where a section requires manufacturer field services. None found in the technical sections. Confirm.</t>
  </si>
  <si>
    <t xml:space="preserve">Submit report to Architect within 10 days of observation.</t>
  </si>
  <si>
    <t xml:space="preserve">014000.04</t>
  </si>
  <si>
    <t xml:space="preserve">Manufacturer's instructions for delivery, storage, assembly, installation, start-up, adjusting and finishing</t>
  </si>
  <si>
    <t xml:space="preserve">PD</t>
  </si>
  <si>
    <t xml:space="preserve">1.8.A p.69</t>
  </si>
  <si>
    <t xml:space="preserve">Submit manufacturer's most recent printed instructions for delivery, storage, assembly, installation, start-up, adjusting, and finishing. Submit in quantities specified for Product Data.</t>
  </si>
  <si>
    <t xml:space="preserve">015000.01</t>
  </si>
  <si>
    <t xml:space="preserve">Site plan showing temporary facilities, utility hookups, staging areas and parking</t>
  </si>
  <si>
    <t xml:space="preserve">01 50 00</t>
  </si>
  <si>
    <t xml:space="preserve">Temporary Facilities and Controls</t>
  </si>
  <si>
    <t xml:space="preserve">1.4.A p.71</t>
  </si>
  <si>
    <t xml:space="preserve">Site Plan: Show temporary facilities, utility hookups, staging areas, and parking areas for construction personnel.</t>
  </si>
  <si>
    <t xml:space="preserve">017700.01</t>
  </si>
  <si>
    <t xml:space="preserve">Releases for Owner use: occupancy permits, operating certificates and similar releases</t>
  </si>
  <si>
    <t xml:space="preserve">01 77 00</t>
  </si>
  <si>
    <t xml:space="preserve">Closeout Procedures</t>
  </si>
  <si>
    <t xml:space="preserve">1.2.A.4 p.82</t>
  </si>
  <si>
    <t xml:space="preserve">Obtain and submit releases permitting Owner unrestricted use of the Work and access to services and utilities. Include occupancy permits, operating certificates, and similar releases.</t>
  </si>
  <si>
    <t xml:space="preserve">017700.02</t>
  </si>
  <si>
    <t xml:space="preserve">Test, adjust and balance records</t>
  </si>
  <si>
    <t xml:space="preserve">1.2.A.9 p.82</t>
  </si>
  <si>
    <t xml:space="preserve">Listed in the closeout checklist. A drainage and paving project may have no systems to balance. Confirm and delete if not applicable.</t>
  </si>
  <si>
    <t xml:space="preserve">Submit test/adjust/balance records.</t>
  </si>
  <si>
    <t xml:space="preserve">017700.03</t>
  </si>
  <si>
    <t xml:space="preserve">Operation and maintenance manuals</t>
  </si>
  <si>
    <t xml:space="preserve">OM</t>
  </si>
  <si>
    <t xml:space="preserve">1.2.A.5 p.82</t>
  </si>
  <si>
    <t xml:space="preserve">Closeout checklist lists O&amp;M manuals. No section in this manual asks for maintenance data. Confirm whether any are required.</t>
  </si>
  <si>
    <t xml:space="preserve">Prepare and submit Project Record Documents, operation and maintenance manuals, Final Completion construction photographs, damage or settlement surveys, property surveys, and similar final record information.</t>
  </si>
  <si>
    <t xml:space="preserve">017700.04</t>
  </si>
  <si>
    <t xml:space="preserve">Punch list (three copies)</t>
  </si>
  <si>
    <t xml:space="preserve">1.4.A p.83</t>
  </si>
  <si>
    <t xml:space="preserve">Submit three copies of list of items to be completed and corrected.</t>
  </si>
  <si>
    <t xml:space="preserve">017700.05</t>
  </si>
  <si>
    <t xml:space="preserve">Warranties, workmanship bonds and maintenance service agreements</t>
  </si>
  <si>
    <t xml:space="preserve">WARR</t>
  </si>
  <si>
    <t xml:space="preserve">1.2.A.3 p.82</t>
  </si>
  <si>
    <t xml:space="preserve">Submit specific warranties, workmanship bonds, maintenance service agreements, final certifications, and similar documents.</t>
  </si>
  <si>
    <t xml:space="preserve">017700.06</t>
  </si>
  <si>
    <t xml:space="preserve">Evidence of final, continuing insurance coverage</t>
  </si>
  <si>
    <t xml:space="preserve">1.3.A.3 p.83</t>
  </si>
  <si>
    <t xml:space="preserve">Submit evidence of final, continuing insurance coverage complying with insurance requirements.</t>
  </si>
  <si>
    <t xml:space="preserve">017730.01</t>
  </si>
  <si>
    <t xml:space="preserve">Land surveyor certificate: location and elevation of improvements</t>
  </si>
  <si>
    <t xml:space="preserve">01 77 30</t>
  </si>
  <si>
    <t xml:space="preserve">Execution</t>
  </si>
  <si>
    <t xml:space="preserve">1.2.A p.85</t>
  </si>
  <si>
    <t xml:space="preserve">Certificates: Submit certificate signed by land surveyor certifying that location and elevation of improvements comply with requirements.</t>
  </si>
  <si>
    <t xml:space="preserve">017730.02</t>
  </si>
  <si>
    <t xml:space="preserve">Landfill receipts for disposed material</t>
  </si>
  <si>
    <t xml:space="preserve">1.2.B p.85</t>
  </si>
  <si>
    <t xml:space="preserve">Landfill Receipts: Submit copy of receipts issued by a landfill facility, licensed to accept hazardous materials, for hazardous waste disposal.</t>
  </si>
  <si>
    <t xml:space="preserve">017730.03</t>
  </si>
  <si>
    <t xml:space="preserve">Certified surveys (two copies signed by a land surveyor)</t>
  </si>
  <si>
    <t xml:space="preserve">1.2.C p.85</t>
  </si>
  <si>
    <t xml:space="preserve">Certified Surveys: Submit two copies signed by land surveyor.</t>
  </si>
  <si>
    <t xml:space="preserve">017730.04</t>
  </si>
  <si>
    <t xml:space="preserve">Final property survey (10 copies, with record survey data)</t>
  </si>
  <si>
    <t xml:space="preserve">1.2.D p.85</t>
  </si>
  <si>
    <t xml:space="preserve">Final Property Survey: Submit 10 copies showing the Work performed and record survey data.</t>
  </si>
  <si>
    <t xml:space="preserve">017783.01</t>
  </si>
  <si>
    <t xml:space="preserve">Record drawings: initial submittal (marked-up prints and digital files) and final submittal (two paper sets, PDF, digital data files)</t>
  </si>
  <si>
    <t xml:space="preserve">01 77 83</t>
  </si>
  <si>
    <t xml:space="preserve">Project Record Documents</t>
  </si>
  <si>
    <t xml:space="preserve">RECORD</t>
  </si>
  <si>
    <t xml:space="preserve">1.2.A p.94</t>
  </si>
  <si>
    <t xml:space="preserve">Spec article (merged)</t>
  </si>
  <si>
    <t xml:space="preserve">Initial and final submittals</t>
  </si>
  <si>
    <t xml:space="preserve">Number of Copies: Submit one set of marked-up record prints. Number of Copies: Submit copies of record Drawings as follows: a. Initial Submittal: Submit one paper copy set and PDF electronic files of marked-up record prints and one set of plots from corrected record digital data files. Architect will indicate whether general scope of changes, additional information recorded, and quality of drafting are acceptable. b. Final Submittal: Submit two paper copy sets and PDF electronic files of marked-up record prints, one set(s) of record digital data files, and three set(s) of record digital data file plots. Plot each drawing file, whether or not changes and additional information were recorded.</t>
  </si>
  <si>
    <t xml:space="preserve">017783.02</t>
  </si>
  <si>
    <t xml:space="preserve">Record specifications (paper copy and annotated PDF)</t>
  </si>
  <si>
    <t xml:space="preserve">1.2.B p.94</t>
  </si>
  <si>
    <t xml:space="preserve">Record Specifications: Submit one paper copy and annotated PDF electronic files of Project's Specifications, including addenda and contract modifications.</t>
  </si>
  <si>
    <t xml:space="preserve">017783.03</t>
  </si>
  <si>
    <t xml:space="preserve">Record product data (paper copy and annotated PDF of each submittal)</t>
  </si>
  <si>
    <t xml:space="preserve">1.2.C p.94</t>
  </si>
  <si>
    <t xml:space="preserve">Record Product Data: Submit one paper copy and annotated PDF electronic files and directories of each submittal.</t>
  </si>
  <si>
    <t xml:space="preserve">017783.04</t>
  </si>
  <si>
    <t xml:space="preserve">Miscellaneous record submittals required by other sections (PDF and paper copy)</t>
  </si>
  <si>
    <t xml:space="preserve">2.4.A p.96</t>
  </si>
  <si>
    <t xml:space="preserve">Assemble miscellaneous records required by other Specification Sections for miscellaneous record keeping and submittal in connection with actual performance of the Work. Bind or file miscellaneous records and identify each, ready for continued use and reference.</t>
  </si>
  <si>
    <t xml:space="preserve">024116.01</t>
  </si>
  <si>
    <t xml:space="preserve">Engineering survey of condition of the building</t>
  </si>
  <si>
    <t xml:space="preserve">02 41 16</t>
  </si>
  <si>
    <t xml:space="preserve">Structure Demolition</t>
  </si>
  <si>
    <t xml:space="preserve">1.3.A p.97</t>
  </si>
  <si>
    <t xml:space="preserve">Engineering Survey: Submit engineering survey of condition of building.</t>
  </si>
  <si>
    <t xml:space="preserve">024116.02</t>
  </si>
  <si>
    <t xml:space="preserve">Proposed protection measures (report with drawings)</t>
  </si>
  <si>
    <t xml:space="preserve">1.3.B p.97</t>
  </si>
  <si>
    <t xml:space="preserve">Proposed Protection Measures: Submit report, including Drawings, that indicates the measures proposed for protecting individuals and property, for dust control and for noise control. Indicate proposed locations and construction of barriers. 1. Adjacent Buildings: Detail special measures proposed to protect adjacent buildings to remain including means of egress from those buildings.</t>
  </si>
  <si>
    <t xml:space="preserve">024116.03</t>
  </si>
  <si>
    <t xml:space="preserve">Schedule of building demolition activities with start and end dates</t>
  </si>
  <si>
    <t xml:space="preserve">1.3.C p.97</t>
  </si>
  <si>
    <t xml:space="preserve">Schedule of building demolition activities with starting and ending dates for each activity.</t>
  </si>
  <si>
    <t xml:space="preserve">024116.04</t>
  </si>
  <si>
    <t xml:space="preserve">Predemolition photographs or video</t>
  </si>
  <si>
    <t xml:space="preserve">1.3.D p.97</t>
  </si>
  <si>
    <t xml:space="preserve">Predemolition photographs or video.</t>
  </si>
  <si>
    <t xml:space="preserve">024116.05</t>
  </si>
  <si>
    <t xml:space="preserve">Statement of refrigerant recovery signed by the recovery technician</t>
  </si>
  <si>
    <t xml:space="preserve">1.3.E p.97</t>
  </si>
  <si>
    <t xml:space="preserve">Statement of Refrigerant Recovery: Signed by refrigerant recovery technician.</t>
  </si>
  <si>
    <t xml:space="preserve">024116.06</t>
  </si>
  <si>
    <t xml:space="preserve">Inventory of items removed and salvaged</t>
  </si>
  <si>
    <t xml:space="preserve">1.4.A p.97</t>
  </si>
  <si>
    <t xml:space="preserve">Inventory of items that have been removed and salvaged.</t>
  </si>
  <si>
    <t xml:space="preserve">024119.01</t>
  </si>
  <si>
    <t xml:space="preserve">02 41 19</t>
  </si>
  <si>
    <t xml:space="preserve">Selective Demolition</t>
  </si>
  <si>
    <t xml:space="preserve">1.3.A p.102</t>
  </si>
  <si>
    <t xml:space="preserve">024119.02</t>
  </si>
  <si>
    <t xml:space="preserve">1.3.B p.102</t>
  </si>
  <si>
    <t xml:space="preserve">Proposed Protection Measures: Submit report, including Drawings, that indicates the measures proposed for protecting individuals and property for dust control and for noise control. Indicate proposed locations and construction of barriers.</t>
  </si>
  <si>
    <t xml:space="preserve">024119.03</t>
  </si>
  <si>
    <t xml:space="preserve">Schedule of selective demolition activities with start and end dates</t>
  </si>
  <si>
    <t xml:space="preserve">1.3.C p.102</t>
  </si>
  <si>
    <t xml:space="preserve">Schedule of selective demolition activities with starting and ending dates for each activity.</t>
  </si>
  <si>
    <t xml:space="preserve">024119.04</t>
  </si>
  <si>
    <t xml:space="preserve">1.3.D p.102</t>
  </si>
  <si>
    <t xml:space="preserve">024119.05</t>
  </si>
  <si>
    <t xml:space="preserve">1.3.E p.102</t>
  </si>
  <si>
    <t xml:space="preserve">024119.06</t>
  </si>
  <si>
    <t xml:space="preserve">1.4.A p.102</t>
  </si>
  <si>
    <t xml:space="preserve">033053.01</t>
  </si>
  <si>
    <t xml:space="preserve">Product data for each type of concrete product</t>
  </si>
  <si>
    <t xml:space="preserve">03 30 53</t>
  </si>
  <si>
    <t xml:space="preserve">Miscellaneous Cast-In-Place Concrete</t>
  </si>
  <si>
    <t xml:space="preserve">1.2.A p.107</t>
  </si>
  <si>
    <t xml:space="preserve">Product Data: For each type of product.</t>
  </si>
  <si>
    <t xml:space="preserve">033053.02</t>
  </si>
  <si>
    <t xml:space="preserve">Concrete design mixtures for each mixture</t>
  </si>
  <si>
    <t xml:space="preserve">1.2.B p.107</t>
  </si>
  <si>
    <t xml:space="preserve">Design Mixtures: For each concrete mixture.</t>
  </si>
  <si>
    <t xml:space="preserve">312000.01</t>
  </si>
  <si>
    <t xml:space="preserve">Material test reports</t>
  </si>
  <si>
    <t xml:space="preserve">31 20 00</t>
  </si>
  <si>
    <t xml:space="preserve">Earth Moving</t>
  </si>
  <si>
    <t xml:space="preserve">1.3.A p.118</t>
  </si>
  <si>
    <t xml:space="preserve">Material test reports.</t>
  </si>
  <si>
    <t xml:space="preserve">321216.01</t>
  </si>
  <si>
    <t xml:space="preserve">Product data for asphalt paving products</t>
  </si>
  <si>
    <t xml:space="preserve">32 12 16</t>
  </si>
  <si>
    <t xml:space="preserve">Asphalt Paving</t>
  </si>
  <si>
    <t xml:space="preserve">1.2.A p.125</t>
  </si>
  <si>
    <t xml:space="preserve">321373.01</t>
  </si>
  <si>
    <t xml:space="preserve">Product data for joint sealant products</t>
  </si>
  <si>
    <t xml:space="preserve">32 13 73</t>
  </si>
  <si>
    <t xml:space="preserve">Concrete Paving Joint Sealants</t>
  </si>
  <si>
    <t xml:space="preserve">1.2.A p.130</t>
  </si>
  <si>
    <t xml:space="preserve">321373.02</t>
  </si>
  <si>
    <t xml:space="preserve">Paving joint sealant data: application, joint location and designation, manufacturer and product name, formulation, color</t>
  </si>
  <si>
    <t xml:space="preserve">1.2.B p.130</t>
  </si>
  <si>
    <t xml:space="preserve">Joint-sealant application, joint location, and designation. Joint-sealant manufacturer and product name. Joint-sealant formulation. Joint-sealant color.</t>
  </si>
  <si>
    <t xml:space="preserve">321373.03</t>
  </si>
  <si>
    <t xml:space="preserve">Product certificates for joint sealants</t>
  </si>
  <si>
    <t xml:space="preserve">1.3.A p.130</t>
  </si>
  <si>
    <t xml:space="preserve">Product certificates.</t>
  </si>
  <si>
    <t xml:space="preserve">334100.01</t>
  </si>
  <si>
    <t xml:space="preserve">Product data for storm drainage piping and fittings</t>
  </si>
  <si>
    <t xml:space="preserve">33 41 00</t>
  </si>
  <si>
    <t xml:space="preserve">Storm Utility Drainage Piping</t>
  </si>
  <si>
    <t xml:space="preserve">1.2.A p.133</t>
  </si>
  <si>
    <t xml:space="preserve">Product Data: For each type of product indicated.</t>
  </si>
  <si>
    <t xml:space="preserve">334100.02</t>
  </si>
  <si>
    <t xml:space="preserve">Coordination drawings: pipe sizes, locations and elevations, with other piping in the same trench</t>
  </si>
  <si>
    <t xml:space="preserve">1.3.A p.133</t>
  </si>
  <si>
    <t xml:space="preserve">Coordination Drawings: Show pipe sizes, locations, and elevations. Show other piping in same trench and clearances from storm drainage system piping. Indicate interface and spatial relationship between manholes, piping, and proximate structures.</t>
  </si>
  <si>
    <t xml:space="preserve">334100.03</t>
  </si>
  <si>
    <t xml:space="preserve">Field quality-control reports</t>
  </si>
  <si>
    <t xml:space="preserve">1.3.B p.133</t>
  </si>
  <si>
    <t xml:space="preserve">Field quality-control reports.</t>
  </si>
  <si>
    <t xml:space="preserve">Project Rules</t>
  </si>
  <si>
    <t xml:space="preserve">Yellow cells are inputs. The Register sheet reads the review and prep weeks from here.</t>
  </si>
  <si>
    <t xml:space="preserve">Project</t>
  </si>
  <si>
    <t xml:space="preserve">Health Sciences Simulation Lab Drainage Improvements, Northeast Texas Community College</t>
  </si>
  <si>
    <t xml:space="preserve">Default review time (weeks)</t>
  </si>
  <si>
    <t xml:space="preserve">Default prep time (weeks)</t>
  </si>
  <si>
    <t xml:space="preserve">Numbering format</t>
  </si>
  <si>
    <t xml:space="preserve">Section number without spaces, a decimal point, then a sequential number (061000.01). Resubmittals add a decimal point and an alphabetic suffix (061000.01.A).</t>
  </si>
  <si>
    <t xml:space="preserve">Copies and format</t>
  </si>
  <si>
    <t xml:space="preserve">Product data: two hard copies and one electronic copy. Shop drawings: two opaque copies, sheets 8-1/2 x 11 up to 30 x 40 inches. Transmit each submittal with its own transmittal form (AIA G810 or approved equal). Progress schedule: six copies plus one PDF.</t>
  </si>
  <si>
    <t xml:space="preserve">Source of rules</t>
  </si>
  <si>
    <t xml:space="preserve">Section 01 33 00 Submittal Procedures (pages 62 to 67)</t>
  </si>
  <si>
    <t xml:space="preserve">Project-wide submittal requirements</t>
  </si>
  <si>
    <t xml:space="preserve">1.</t>
  </si>
  <si>
    <t xml:space="preserve">Initial review is 15 days (about 2.1 weeks) from the Architect's receipt, and resubmittal review is another 15 days. Review time is the default on the Register sheet; change it on this sheet.</t>
  </si>
  <si>
    <t xml:space="preserve">2.</t>
  </si>
  <si>
    <t xml:space="preserve">No extension of Contract Time is allowed for submittals sent too late to be processed, including resubmittals.</t>
  </si>
  <si>
    <t xml:space="preserve">3.</t>
  </si>
  <si>
    <t xml:space="preserve">Resubmit until the submittal is marked No Exception Taken. Use only final submittals marked No Exceptions Taken for construction.</t>
  </si>
  <si>
    <t xml:space="preserve">4.</t>
  </si>
  <si>
    <t xml:space="preserve">All submittals go through the Contractor. The Architect returns submittals received from any other source without review.</t>
  </si>
  <si>
    <t xml:space="preserve">5.</t>
  </si>
  <si>
    <t xml:space="preserve">Package each submittal individually and transmit it with a transmittal form.</t>
  </si>
  <si>
    <t xml:space="preserve">6.</t>
  </si>
  <si>
    <t xml:space="preserve">Highlight, encircle or otherwise identify deviations from the Contract Documents.</t>
  </si>
  <si>
    <t xml:space="preserve">7.</t>
  </si>
  <si>
    <t xml:space="preserve">Substitution requests and comparable product requests (Section 01 60 00) are contractor-initiated and are not in this register.</t>
  </si>
  <si>
    <t xml:space="preserve">8.</t>
  </si>
  <si>
    <t xml:space="preserve">Prep time of 1 week is an assumption, not a spec requirement.</t>
  </si>
  <si>
    <t xml:space="preserve">Review Queue</t>
  </si>
  <si>
    <t xml:space="preserve">Items the extraction could not place with confidence. Confirm each, then edit or delete its row on the Register sheet.</t>
  </si>
  <si>
    <t xml:space="preserve">Why it needs review</t>
  </si>
  <si>
    <t xml:space="preserve">Spec text</t>
  </si>
  <si>
    <t xml:space="preserve">Decision</t>
  </si>
  <si>
    <t xml:space="preserve">Applies only if a section requires design data. Confirm whether any item here is delegated design.</t>
  </si>
  <si>
    <t xml:space="preserve">Submittals by Spec Section</t>
  </si>
  <si>
    <t xml:space="preserve">Submittals</t>
  </si>
  <si>
    <t xml:space="preserve">Approved</t>
  </si>
  <si>
    <t xml:space="preserve">Open</t>
  </si>
  <si>
    <t xml:space="preserve">Total</t>
  </si>
  <si>
    <t xml:space="preserve">Legend</t>
  </si>
  <si>
    <t xml:space="preserve">Type code</t>
  </si>
  <si>
    <t xml:space="preserve">Meaning</t>
  </si>
  <si>
    <t xml:space="preserve">Product data</t>
  </si>
  <si>
    <t xml:space="preserve">Shop drawings</t>
  </si>
  <si>
    <t xml:space="preserve">WD</t>
  </si>
  <si>
    <t xml:space="preserve">Wiring diagrams</t>
  </si>
  <si>
    <t xml:space="preserve">SAM</t>
  </si>
  <si>
    <t xml:space="preserve">Samples</t>
  </si>
  <si>
    <t xml:space="preserve">Calculations</t>
  </si>
  <si>
    <t xml:space="preserve">Certificates, qualifications</t>
  </si>
  <si>
    <t xml:space="preserve">Test and inspection reports</t>
  </si>
  <si>
    <t xml:space="preserve">Warranties</t>
  </si>
  <si>
    <t xml:space="preserve">Operation and maintenance data</t>
  </si>
  <si>
    <t xml:space="preserve">MOCKUP</t>
  </si>
  <si>
    <t xml:space="preserve">Mock-ups</t>
  </si>
  <si>
    <t xml:space="preserve">Record drawings and as-builts</t>
  </si>
  <si>
    <t xml:space="preserve">Schedules</t>
  </si>
  <si>
    <t xml:space="preserve">Surveys, statements, other reports</t>
  </si>
  <si>
    <t xml:space="preserve">REF</t>
  </si>
  <si>
    <t xml:space="preserve">Cross-reference to another section</t>
  </si>
  <si>
    <t xml:space="preserve">OTHER</t>
  </si>
  <si>
    <t xml:space="preserve">Not classified</t>
  </si>
  <si>
    <t xml:space="preserve">Cell colors</t>
  </si>
  <si>
    <t xml:space="preserve">Input: edit these</t>
  </si>
  <si>
    <t xml:space="preserve">Needs a human decision</t>
  </si>
  <si>
    <t xml:space="preserve">Blue text: typed number. Green text: value linked from Project Rules. Black: formula or text.</t>
  </si>
</sst>
</file>

<file path=xl/styles.xml><?xml version="1.0" encoding="utf-8"?>
<styleSheet xmlns="http://schemas.openxmlformats.org/spreadsheetml/2006/main">
  <numFmts count="4">
    <numFmt numFmtId="164" formatCode="General"/>
    <numFmt numFmtId="165" formatCode="mm/dd/yyyy"/>
    <numFmt numFmtId="166" formatCode="General"/>
    <numFmt numFmtId="167" formatCode="0;[RED]\-0"/>
  </numFmts>
  <fonts count="11">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i val="true"/>
      <sz val="10"/>
      <color rgb="FF595959"/>
      <name val="Arial"/>
      <family val="0"/>
      <charset val="1"/>
    </font>
    <font>
      <b val="true"/>
      <sz val="10"/>
      <color rgb="FFFFFFFF"/>
      <name val="Arial"/>
      <family val="0"/>
      <charset val="1"/>
    </font>
    <font>
      <sz val="10"/>
      <color rgb="FF000000"/>
      <name val="Arial"/>
      <family val="0"/>
      <charset val="1"/>
    </font>
    <font>
      <sz val="10"/>
      <color rgb="FF008000"/>
      <name val="Arial"/>
      <family val="0"/>
      <charset val="1"/>
    </font>
    <font>
      <b val="true"/>
      <sz val="10"/>
      <color rgb="FF000000"/>
      <name val="Arial"/>
      <family val="0"/>
      <charset val="1"/>
    </font>
    <font>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CE4D6"/>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6" fontId="8"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fgColor rgb="FFFCE4D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8000"/>
          <bgColor rgb="FF000000"/>
        </patternFill>
      </fill>
    </dxf>
    <dxf>
      <fill>
        <patternFill>
          <bgColor rgb="FFE2EFDA"/>
        </patternFill>
      </fill>
    </dxf>
    <dxf>
      <fill>
        <patternFill>
          <bgColor rgb="FFF8CBAD"/>
        </patternFill>
      </fill>
    </dxf>
    <dxf>
      <fill>
        <patternFill>
          <bgColor rgb="FFDDEBF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
    <col collapsed="false" customWidth="true" hidden="false" outlineLevel="0" max="3" min="3" style="0" width="58"/>
    <col collapsed="false" customWidth="true" hidden="false" outlineLevel="0" max="4" min="4" style="0" width="12"/>
    <col collapsed="false" customWidth="true" hidden="false" outlineLevel="0" max="5" min="5" style="0" width="26"/>
    <col collapsed="false" customWidth="true" hidden="false" outlineLevel="0" max="6" min="6" style="0" width="11"/>
    <col collapsed="false" customWidth="true" hidden="false" outlineLevel="0" max="7" min="7" style="0" width="14"/>
    <col collapsed="false" customWidth="true" hidden="false" outlineLevel="0" max="8" min="8" style="0" width="12"/>
    <col collapsed="false" customWidth="true" hidden="false" outlineLevel="0" max="9" min="9" style="0" width="10"/>
    <col collapsed="false" customWidth="true" hidden="false" outlineLevel="0" max="11" min="10" style="0" width="9"/>
    <col collapsed="false" customWidth="true" hidden="false" outlineLevel="0" max="15" min="12" style="0" width="12"/>
    <col collapsed="false" customWidth="true" hidden="false" outlineLevel="0" max="16" min="16" style="0" width="17"/>
    <col collapsed="false" customWidth="true" hidden="false" outlineLevel="0" max="17" min="17" style="0" width="9"/>
    <col collapsed="false" customWidth="true" hidden="false" outlineLevel="0" max="18" min="18" style="0" width="22"/>
    <col collapsed="false" customWidth="true" hidden="false" outlineLevel="0" max="19" min="19" style="0" width="34"/>
    <col collapsed="false" customWidth="true" hidden="false" outlineLevel="0" max="20" min="20" style="0" width="60"/>
  </cols>
  <sheetData>
    <row r="1" customFormat="false" ht="17.35" hidden="false" customHeight="false" outlineLevel="0" collapsed="false">
      <c r="A1" s="1" t="s">
        <v>0</v>
      </c>
    </row>
    <row r="2" customFormat="false" ht="15" hidden="false" customHeight="false" outlineLevel="0" collapsed="false">
      <c r="A2" s="2" t="s">
        <v>1</v>
      </c>
    </row>
    <row r="4" customFormat="false" ht="31.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row>
    <row r="5" customFormat="false" ht="23.85" hidden="false" customHeight="false" outlineLevel="0" collapsed="false">
      <c r="A5" s="4" t="s">
        <v>22</v>
      </c>
      <c r="B5" s="4" t="n">
        <v>0</v>
      </c>
      <c r="C5" s="5" t="s">
        <v>23</v>
      </c>
      <c r="D5" s="4" t="s">
        <v>24</v>
      </c>
      <c r="E5" s="5" t="s">
        <v>25</v>
      </c>
      <c r="F5" s="4" t="s">
        <v>26</v>
      </c>
      <c r="G5" s="4" t="s">
        <v>27</v>
      </c>
      <c r="H5" s="6"/>
      <c r="I5" s="7"/>
      <c r="J5" s="8" t="n">
        <f aca="false">'Project Rules'!$B$5</f>
        <v>2.14</v>
      </c>
      <c r="K5" s="8" t="n">
        <f aca="false">'Project Rules'!$B$6</f>
        <v>1</v>
      </c>
      <c r="L5" s="9" t="str">
        <f aca="false">IF(OR(H5="",I5=""),"",H5-7*I5)</f>
        <v/>
      </c>
      <c r="M5" s="9" t="str">
        <f aca="false">IF(OR(H5="",I5=""),"",H5-7*(I5+J5+K5))</f>
        <v/>
      </c>
      <c r="N5" s="6"/>
      <c r="O5" s="6"/>
      <c r="P5" s="7" t="s">
        <v>28</v>
      </c>
      <c r="Q5" s="10" t="str">
        <f aca="true">IF(OR(M5="",P5="Approved",P5="Approved as Noted"),"",M5-TODAY())</f>
        <v/>
      </c>
      <c r="R5" s="4" t="s">
        <v>29</v>
      </c>
      <c r="S5" s="11" t="s">
        <v>30</v>
      </c>
      <c r="T5" s="4" t="s">
        <v>31</v>
      </c>
    </row>
    <row r="6" customFormat="false" ht="23.85" hidden="false" customHeight="false" outlineLevel="0" collapsed="false">
      <c r="A6" s="4" t="s">
        <v>32</v>
      </c>
      <c r="B6" s="4" t="n">
        <v>0</v>
      </c>
      <c r="C6" s="5" t="s">
        <v>33</v>
      </c>
      <c r="D6" s="4" t="s">
        <v>24</v>
      </c>
      <c r="E6" s="5" t="s">
        <v>25</v>
      </c>
      <c r="F6" s="4" t="s">
        <v>34</v>
      </c>
      <c r="G6" s="4" t="s">
        <v>35</v>
      </c>
      <c r="H6" s="6"/>
      <c r="I6" s="7"/>
      <c r="J6" s="8" t="n">
        <f aca="false">'Project Rules'!$B$5</f>
        <v>2.14</v>
      </c>
      <c r="K6" s="8" t="n">
        <f aca="false">'Project Rules'!$B$6</f>
        <v>1</v>
      </c>
      <c r="L6" s="9" t="str">
        <f aca="false">IF(OR(H6="",I6=""),"",H6-7*I6)</f>
        <v/>
      </c>
      <c r="M6" s="9" t="str">
        <f aca="false">IF(OR(H6="",I6=""),"",H6-7*(I6+J6+K6))</f>
        <v/>
      </c>
      <c r="N6" s="6"/>
      <c r="O6" s="6"/>
      <c r="P6" s="7" t="s">
        <v>28</v>
      </c>
      <c r="Q6" s="10" t="str">
        <f aca="true">IF(OR(M6="",P6="Approved",P6="Approved as Noted"),"",M6-TODAY())</f>
        <v/>
      </c>
      <c r="R6" s="4" t="s">
        <v>29</v>
      </c>
      <c r="S6" s="11" t="s">
        <v>36</v>
      </c>
      <c r="T6" s="4" t="s">
        <v>37</v>
      </c>
    </row>
    <row r="7" customFormat="false" ht="23.85" hidden="false" customHeight="false" outlineLevel="0" collapsed="false">
      <c r="A7" s="4" t="s">
        <v>38</v>
      </c>
      <c r="B7" s="4" t="n">
        <v>0</v>
      </c>
      <c r="C7" s="5" t="s">
        <v>39</v>
      </c>
      <c r="D7" s="4" t="s">
        <v>24</v>
      </c>
      <c r="E7" s="5" t="s">
        <v>25</v>
      </c>
      <c r="F7" s="4" t="s">
        <v>26</v>
      </c>
      <c r="G7" s="4" t="s">
        <v>40</v>
      </c>
      <c r="H7" s="6"/>
      <c r="I7" s="7"/>
      <c r="J7" s="8" t="n">
        <f aca="false">'Project Rules'!$B$5</f>
        <v>2.14</v>
      </c>
      <c r="K7" s="8" t="n">
        <f aca="false">'Project Rules'!$B$6</f>
        <v>1</v>
      </c>
      <c r="L7" s="9" t="str">
        <f aca="false">IF(OR(H7="",I7=""),"",H7-7*I7)</f>
        <v/>
      </c>
      <c r="M7" s="9" t="str">
        <f aca="false">IF(OR(H7="",I7=""),"",H7-7*(I7+J7+K7))</f>
        <v/>
      </c>
      <c r="N7" s="6"/>
      <c r="O7" s="6"/>
      <c r="P7" s="7" t="s">
        <v>28</v>
      </c>
      <c r="Q7" s="10" t="str">
        <f aca="true">IF(OR(M7="",P7="Approved",P7="Approved as Noted"),"",M7-TODAY())</f>
        <v/>
      </c>
      <c r="R7" s="4" t="s">
        <v>29</v>
      </c>
      <c r="S7" s="11" t="s">
        <v>36</v>
      </c>
      <c r="T7" s="4" t="s">
        <v>41</v>
      </c>
    </row>
    <row r="8" customFormat="false" ht="23.85" hidden="false" customHeight="false" outlineLevel="0" collapsed="false">
      <c r="A8" s="4" t="s">
        <v>42</v>
      </c>
      <c r="B8" s="4" t="n">
        <v>0</v>
      </c>
      <c r="C8" s="5" t="s">
        <v>43</v>
      </c>
      <c r="D8" s="4" t="s">
        <v>24</v>
      </c>
      <c r="E8" s="5" t="s">
        <v>25</v>
      </c>
      <c r="F8" s="4" t="s">
        <v>34</v>
      </c>
      <c r="G8" s="4" t="s">
        <v>44</v>
      </c>
      <c r="H8" s="6"/>
      <c r="I8" s="7"/>
      <c r="J8" s="8" t="n">
        <f aca="false">'Project Rules'!$B$5</f>
        <v>2.14</v>
      </c>
      <c r="K8" s="8" t="n">
        <f aca="false">'Project Rules'!$B$6</f>
        <v>1</v>
      </c>
      <c r="L8" s="9" t="str">
        <f aca="false">IF(OR(H8="",I8=""),"",H8-7*I8)</f>
        <v/>
      </c>
      <c r="M8" s="9" t="str">
        <f aca="false">IF(OR(H8="",I8=""),"",H8-7*(I8+J8+K8))</f>
        <v/>
      </c>
      <c r="N8" s="6"/>
      <c r="O8" s="6"/>
      <c r="P8" s="7" t="s">
        <v>28</v>
      </c>
      <c r="Q8" s="10" t="str">
        <f aca="true">IF(OR(M8="",P8="Approved",P8="Approved as Noted"),"",M8-TODAY())</f>
        <v/>
      </c>
      <c r="R8" s="4" t="s">
        <v>29</v>
      </c>
      <c r="S8" s="11" t="s">
        <v>36</v>
      </c>
      <c r="T8" s="4" t="s">
        <v>45</v>
      </c>
    </row>
    <row r="9" customFormat="false" ht="23.85" hidden="false" customHeight="false" outlineLevel="0" collapsed="false">
      <c r="A9" s="4" t="s">
        <v>46</v>
      </c>
      <c r="B9" s="4" t="n">
        <v>0</v>
      </c>
      <c r="C9" s="5" t="s">
        <v>47</v>
      </c>
      <c r="D9" s="4" t="s">
        <v>24</v>
      </c>
      <c r="E9" s="5" t="s">
        <v>25</v>
      </c>
      <c r="F9" s="4" t="s">
        <v>48</v>
      </c>
      <c r="G9" s="4" t="s">
        <v>49</v>
      </c>
      <c r="H9" s="6"/>
      <c r="I9" s="7"/>
      <c r="J9" s="8" t="n">
        <f aca="false">'Project Rules'!$B$5</f>
        <v>2.14</v>
      </c>
      <c r="K9" s="8" t="n">
        <f aca="false">'Project Rules'!$B$6</f>
        <v>1</v>
      </c>
      <c r="L9" s="9" t="str">
        <f aca="false">IF(OR(H9="",I9=""),"",H9-7*I9)</f>
        <v/>
      </c>
      <c r="M9" s="9" t="str">
        <f aca="false">IF(OR(H9="",I9=""),"",H9-7*(I9+J9+K9))</f>
        <v/>
      </c>
      <c r="N9" s="6"/>
      <c r="O9" s="6"/>
      <c r="P9" s="7" t="s">
        <v>28</v>
      </c>
      <c r="Q9" s="10" t="str">
        <f aca="true">IF(OR(M9="",P9="Approved",P9="Approved as Noted"),"",M9-TODAY())</f>
        <v/>
      </c>
      <c r="R9" s="4" t="s">
        <v>29</v>
      </c>
      <c r="S9" s="11" t="s">
        <v>36</v>
      </c>
      <c r="T9" s="4" t="s">
        <v>50</v>
      </c>
    </row>
    <row r="10" customFormat="false" ht="23.85" hidden="false" customHeight="false" outlineLevel="0" collapsed="false">
      <c r="A10" s="4" t="s">
        <v>51</v>
      </c>
      <c r="B10" s="4" t="n">
        <v>0</v>
      </c>
      <c r="C10" s="5" t="s">
        <v>52</v>
      </c>
      <c r="D10" s="4" t="s">
        <v>24</v>
      </c>
      <c r="E10" s="5" t="s">
        <v>25</v>
      </c>
      <c r="F10" s="4" t="s">
        <v>48</v>
      </c>
      <c r="G10" s="4" t="s">
        <v>53</v>
      </c>
      <c r="H10" s="6"/>
      <c r="I10" s="7"/>
      <c r="J10" s="8" t="n">
        <f aca="false">'Project Rules'!$B$5</f>
        <v>2.14</v>
      </c>
      <c r="K10" s="8" t="n">
        <f aca="false">'Project Rules'!$B$6</f>
        <v>1</v>
      </c>
      <c r="L10" s="9" t="str">
        <f aca="false">IF(OR(H10="",I10=""),"",H10-7*I10)</f>
        <v/>
      </c>
      <c r="M10" s="9" t="str">
        <f aca="false">IF(OR(H10="",I10=""),"",H10-7*(I10+J10+K10))</f>
        <v/>
      </c>
      <c r="N10" s="6"/>
      <c r="O10" s="6"/>
      <c r="P10" s="7" t="s">
        <v>28</v>
      </c>
      <c r="Q10" s="10" t="str">
        <f aca="true">IF(OR(M10="",P10="Approved",P10="Approved as Noted"),"",M10-TODAY())</f>
        <v/>
      </c>
      <c r="R10" s="4" t="s">
        <v>29</v>
      </c>
      <c r="S10" s="11" t="s">
        <v>54</v>
      </c>
      <c r="T10" s="4" t="s">
        <v>55</v>
      </c>
    </row>
    <row r="11" customFormat="false" ht="23.85" hidden="false" customHeight="false" outlineLevel="0" collapsed="false">
      <c r="A11" s="4" t="s">
        <v>56</v>
      </c>
      <c r="B11" s="4" t="n">
        <v>0</v>
      </c>
      <c r="C11" s="5" t="s">
        <v>57</v>
      </c>
      <c r="D11" s="4" t="s">
        <v>58</v>
      </c>
      <c r="E11" s="5" t="s">
        <v>59</v>
      </c>
      <c r="F11" s="4" t="s">
        <v>60</v>
      </c>
      <c r="G11" s="4" t="s">
        <v>61</v>
      </c>
      <c r="H11" s="6"/>
      <c r="I11" s="7"/>
      <c r="J11" s="8" t="n">
        <f aca="false">'Project Rules'!$B$5</f>
        <v>2.14</v>
      </c>
      <c r="K11" s="8" t="n">
        <f aca="false">'Project Rules'!$B$6</f>
        <v>1</v>
      </c>
      <c r="L11" s="9" t="str">
        <f aca="false">IF(OR(H11="",I11=""),"",H11-7*I11)</f>
        <v/>
      </c>
      <c r="M11" s="9" t="str">
        <f aca="false">IF(OR(H11="",I11=""),"",H11-7*(I11+J11+K11))</f>
        <v/>
      </c>
      <c r="N11" s="6"/>
      <c r="O11" s="6"/>
      <c r="P11" s="7" t="s">
        <v>28</v>
      </c>
      <c r="Q11" s="10" t="str">
        <f aca="true">IF(OR(M11="",P11="Approved",P11="Approved as Noted"),"",M11-TODAY())</f>
        <v/>
      </c>
      <c r="R11" s="4" t="s">
        <v>62</v>
      </c>
      <c r="S11" s="11"/>
      <c r="T11" s="4" t="s">
        <v>63</v>
      </c>
    </row>
    <row r="12" customFormat="false" ht="23.85" hidden="false" customHeight="false" outlineLevel="0" collapsed="false">
      <c r="A12" s="4" t="s">
        <v>64</v>
      </c>
      <c r="B12" s="4" t="n">
        <v>0</v>
      </c>
      <c r="C12" s="5" t="s">
        <v>65</v>
      </c>
      <c r="D12" s="4" t="s">
        <v>66</v>
      </c>
      <c r="E12" s="5" t="s">
        <v>67</v>
      </c>
      <c r="F12" s="4" t="s">
        <v>26</v>
      </c>
      <c r="G12" s="4" t="s">
        <v>68</v>
      </c>
      <c r="H12" s="6"/>
      <c r="I12" s="7"/>
      <c r="J12" s="8" t="n">
        <f aca="false">'Project Rules'!$B$5</f>
        <v>2.14</v>
      </c>
      <c r="K12" s="8" t="n">
        <f aca="false">'Project Rules'!$B$6</f>
        <v>1</v>
      </c>
      <c r="L12" s="9" t="str">
        <f aca="false">IF(OR(H12="",I12=""),"",H12-7*I12)</f>
        <v/>
      </c>
      <c r="M12" s="9" t="str">
        <f aca="false">IF(OR(H12="",I12=""),"",H12-7*(I12+J12+K12))</f>
        <v/>
      </c>
      <c r="N12" s="6"/>
      <c r="O12" s="6"/>
      <c r="P12" s="7" t="s">
        <v>28</v>
      </c>
      <c r="Q12" s="10" t="str">
        <f aca="true">IF(OR(M12="",P12="Approved",P12="Approved as Noted"),"",M12-TODAY())</f>
        <v/>
      </c>
      <c r="R12" s="4" t="s">
        <v>62</v>
      </c>
      <c r="S12" s="11" t="s">
        <v>69</v>
      </c>
      <c r="T12" s="4" t="s">
        <v>70</v>
      </c>
    </row>
    <row r="13" customFormat="false" ht="23.85" hidden="false" customHeight="false" outlineLevel="0" collapsed="false">
      <c r="A13" s="4" t="s">
        <v>71</v>
      </c>
      <c r="B13" s="4" t="n">
        <v>0</v>
      </c>
      <c r="C13" s="5" t="s">
        <v>72</v>
      </c>
      <c r="D13" s="4" t="s">
        <v>66</v>
      </c>
      <c r="E13" s="5" t="s">
        <v>67</v>
      </c>
      <c r="F13" s="4" t="s">
        <v>26</v>
      </c>
      <c r="G13" s="4" t="s">
        <v>73</v>
      </c>
      <c r="H13" s="6"/>
      <c r="I13" s="7"/>
      <c r="J13" s="8" t="n">
        <f aca="false">'Project Rules'!$B$5</f>
        <v>2.14</v>
      </c>
      <c r="K13" s="8" t="n">
        <f aca="false">'Project Rules'!$B$6</f>
        <v>1</v>
      </c>
      <c r="L13" s="9" t="str">
        <f aca="false">IF(OR(H13="",I13=""),"",H13-7*I13)</f>
        <v/>
      </c>
      <c r="M13" s="9" t="str">
        <f aca="false">IF(OR(H13="",I13=""),"",H13-7*(I13+J13+K13))</f>
        <v/>
      </c>
      <c r="N13" s="6"/>
      <c r="O13" s="6"/>
      <c r="P13" s="7" t="s">
        <v>28</v>
      </c>
      <c r="Q13" s="10" t="str">
        <f aca="true">IF(OR(M13="",P13="Approved",P13="Approved as Noted"),"",M13-TODAY())</f>
        <v/>
      </c>
      <c r="R13" s="4" t="s">
        <v>62</v>
      </c>
      <c r="S13" s="11" t="s">
        <v>54</v>
      </c>
      <c r="T13" s="4" t="s">
        <v>74</v>
      </c>
    </row>
    <row r="14" customFormat="false" ht="23.85" hidden="false" customHeight="false" outlineLevel="0" collapsed="false">
      <c r="A14" s="4" t="s">
        <v>75</v>
      </c>
      <c r="B14" s="4" t="n">
        <v>0</v>
      </c>
      <c r="C14" s="5" t="s">
        <v>76</v>
      </c>
      <c r="D14" s="4" t="s">
        <v>66</v>
      </c>
      <c r="E14" s="5" t="s">
        <v>67</v>
      </c>
      <c r="F14" s="4" t="s">
        <v>26</v>
      </c>
      <c r="G14" s="4" t="s">
        <v>77</v>
      </c>
      <c r="H14" s="6"/>
      <c r="I14" s="7"/>
      <c r="J14" s="8" t="n">
        <f aca="false">'Project Rules'!$B$5</f>
        <v>2.14</v>
      </c>
      <c r="K14" s="8" t="n">
        <f aca="false">'Project Rules'!$B$6</f>
        <v>1</v>
      </c>
      <c r="L14" s="9" t="str">
        <f aca="false">IF(OR(H14="",I14=""),"",H14-7*I14)</f>
        <v/>
      </c>
      <c r="M14" s="9" t="str">
        <f aca="false">IF(OR(H14="",I14=""),"",H14-7*(I14+J14+K14))</f>
        <v/>
      </c>
      <c r="N14" s="6"/>
      <c r="O14" s="6"/>
      <c r="P14" s="7" t="s">
        <v>28</v>
      </c>
      <c r="Q14" s="10" t="str">
        <f aca="true">IF(OR(M14="",P14="Approved",P14="Approved as Noted"),"",M14-TODAY())</f>
        <v/>
      </c>
      <c r="R14" s="4" t="s">
        <v>29</v>
      </c>
      <c r="S14" s="11" t="s">
        <v>78</v>
      </c>
      <c r="T14" s="4" t="s">
        <v>79</v>
      </c>
    </row>
    <row r="15" customFormat="false" ht="23.85" hidden="false" customHeight="false" outlineLevel="0" collapsed="false">
      <c r="A15" s="12" t="s">
        <v>80</v>
      </c>
      <c r="B15" s="4" t="n">
        <v>0</v>
      </c>
      <c r="C15" s="13" t="s">
        <v>81</v>
      </c>
      <c r="D15" s="12" t="s">
        <v>82</v>
      </c>
      <c r="E15" s="5" t="s">
        <v>83</v>
      </c>
      <c r="F15" s="12" t="s">
        <v>84</v>
      </c>
      <c r="G15" s="12" t="s">
        <v>85</v>
      </c>
      <c r="H15" s="6"/>
      <c r="I15" s="7"/>
      <c r="J15" s="8" t="n">
        <f aca="false">'Project Rules'!$B$5</f>
        <v>2.14</v>
      </c>
      <c r="K15" s="8" t="n">
        <f aca="false">'Project Rules'!$B$6</f>
        <v>1</v>
      </c>
      <c r="L15" s="9" t="str">
        <f aca="false">IF(OR(H15="",I15=""),"",H15-7*I15)</f>
        <v/>
      </c>
      <c r="M15" s="9" t="str">
        <f aca="false">IF(OR(H15="",I15=""),"",H15-7*(I15+J15+K15))</f>
        <v/>
      </c>
      <c r="N15" s="6"/>
      <c r="O15" s="6"/>
      <c r="P15" s="7" t="s">
        <v>28</v>
      </c>
      <c r="Q15" s="10" t="str">
        <f aca="true">IF(OR(M15="",P15="Approved",P15="Approved as Noted"),"",M15-TODAY())</f>
        <v/>
      </c>
      <c r="R15" s="12" t="s">
        <v>29</v>
      </c>
      <c r="S15" s="11" t="s">
        <v>86</v>
      </c>
      <c r="T15" s="4" t="s">
        <v>87</v>
      </c>
    </row>
    <row r="16" customFormat="false" ht="15" hidden="false" customHeight="false" outlineLevel="0" collapsed="false">
      <c r="A16" s="4" t="s">
        <v>88</v>
      </c>
      <c r="B16" s="4" t="n">
        <v>0</v>
      </c>
      <c r="C16" s="5" t="s">
        <v>89</v>
      </c>
      <c r="D16" s="4" t="s">
        <v>82</v>
      </c>
      <c r="E16" s="5" t="s">
        <v>83</v>
      </c>
      <c r="F16" s="4" t="s">
        <v>90</v>
      </c>
      <c r="G16" s="4" t="s">
        <v>91</v>
      </c>
      <c r="H16" s="6"/>
      <c r="I16" s="7"/>
      <c r="J16" s="8" t="n">
        <f aca="false">'Project Rules'!$B$5</f>
        <v>2.14</v>
      </c>
      <c r="K16" s="8" t="n">
        <f aca="false">'Project Rules'!$B$6</f>
        <v>1</v>
      </c>
      <c r="L16" s="9" t="str">
        <f aca="false">IF(OR(H16="",I16=""),"",H16-7*I16)</f>
        <v/>
      </c>
      <c r="M16" s="9" t="str">
        <f aca="false">IF(OR(H16="",I16=""),"",H16-7*(I16+J16+K16))</f>
        <v/>
      </c>
      <c r="N16" s="6"/>
      <c r="O16" s="6"/>
      <c r="P16" s="7" t="s">
        <v>28</v>
      </c>
      <c r="Q16" s="10" t="str">
        <f aca="true">IF(OR(M16="",P16="Approved",P16="Approved as Noted"),"",M16-TODAY())</f>
        <v/>
      </c>
      <c r="R16" s="4" t="s">
        <v>29</v>
      </c>
      <c r="S16" s="11"/>
      <c r="T16" s="4" t="s">
        <v>92</v>
      </c>
    </row>
    <row r="17" customFormat="false" ht="35.05" hidden="false" customHeight="false" outlineLevel="0" collapsed="false">
      <c r="A17" s="12" t="s">
        <v>93</v>
      </c>
      <c r="B17" s="4" t="n">
        <v>0</v>
      </c>
      <c r="C17" s="13" t="s">
        <v>94</v>
      </c>
      <c r="D17" s="12" t="s">
        <v>82</v>
      </c>
      <c r="E17" s="5" t="s">
        <v>83</v>
      </c>
      <c r="F17" s="12" t="s">
        <v>90</v>
      </c>
      <c r="G17" s="12" t="s">
        <v>95</v>
      </c>
      <c r="H17" s="6"/>
      <c r="I17" s="7"/>
      <c r="J17" s="8" t="n">
        <f aca="false">'Project Rules'!$B$5</f>
        <v>2.14</v>
      </c>
      <c r="K17" s="8" t="n">
        <f aca="false">'Project Rules'!$B$6</f>
        <v>1</v>
      </c>
      <c r="L17" s="9" t="str">
        <f aca="false">IF(OR(H17="",I17=""),"",H17-7*I17)</f>
        <v/>
      </c>
      <c r="M17" s="9" t="str">
        <f aca="false">IF(OR(H17="",I17=""),"",H17-7*(I17+J17+K17))</f>
        <v/>
      </c>
      <c r="N17" s="6"/>
      <c r="O17" s="6"/>
      <c r="P17" s="7" t="s">
        <v>28</v>
      </c>
      <c r="Q17" s="10" t="str">
        <f aca="true">IF(OR(M17="",P17="Approved",P17="Approved as Noted"),"",M17-TODAY())</f>
        <v/>
      </c>
      <c r="R17" s="12" t="s">
        <v>29</v>
      </c>
      <c r="S17" s="11" t="s">
        <v>96</v>
      </c>
      <c r="T17" s="4" t="s">
        <v>97</v>
      </c>
    </row>
    <row r="18" customFormat="false" ht="23.85" hidden="false" customHeight="false" outlineLevel="0" collapsed="false">
      <c r="A18" s="4" t="s">
        <v>98</v>
      </c>
      <c r="B18" s="4" t="n">
        <v>0</v>
      </c>
      <c r="C18" s="5" t="s">
        <v>99</v>
      </c>
      <c r="D18" s="4" t="s">
        <v>82</v>
      </c>
      <c r="E18" s="5" t="s">
        <v>83</v>
      </c>
      <c r="F18" s="4" t="s">
        <v>100</v>
      </c>
      <c r="G18" s="4" t="s">
        <v>101</v>
      </c>
      <c r="H18" s="6"/>
      <c r="I18" s="7"/>
      <c r="J18" s="8" t="n">
        <f aca="false">'Project Rules'!$B$5</f>
        <v>2.14</v>
      </c>
      <c r="K18" s="8" t="n">
        <f aca="false">'Project Rules'!$B$6</f>
        <v>1</v>
      </c>
      <c r="L18" s="9" t="str">
        <f aca="false">IF(OR(H18="",I18=""),"",H18-7*I18)</f>
        <v/>
      </c>
      <c r="M18" s="9" t="str">
        <f aca="false">IF(OR(H18="",I18=""),"",H18-7*(I18+J18+K18))</f>
        <v/>
      </c>
      <c r="N18" s="6"/>
      <c r="O18" s="6"/>
      <c r="P18" s="7" t="s">
        <v>28</v>
      </c>
      <c r="Q18" s="10" t="str">
        <f aca="true">IF(OR(M18="",P18="Approved",P18="Approved as Noted"),"",M18-TODAY())</f>
        <v/>
      </c>
      <c r="R18" s="4" t="s">
        <v>29</v>
      </c>
      <c r="S18" s="11"/>
      <c r="T18" s="4" t="s">
        <v>102</v>
      </c>
    </row>
    <row r="19" customFormat="false" ht="23.85" hidden="false" customHeight="false" outlineLevel="0" collapsed="false">
      <c r="A19" s="4" t="s">
        <v>103</v>
      </c>
      <c r="B19" s="4" t="n">
        <v>0</v>
      </c>
      <c r="C19" s="5" t="s">
        <v>104</v>
      </c>
      <c r="D19" s="4" t="s">
        <v>105</v>
      </c>
      <c r="E19" s="5" t="s">
        <v>106</v>
      </c>
      <c r="F19" s="4" t="s">
        <v>60</v>
      </c>
      <c r="G19" s="4" t="s">
        <v>107</v>
      </c>
      <c r="H19" s="6"/>
      <c r="I19" s="7"/>
      <c r="J19" s="8" t="n">
        <f aca="false">'Project Rules'!$B$5</f>
        <v>2.14</v>
      </c>
      <c r="K19" s="8" t="n">
        <f aca="false">'Project Rules'!$B$6</f>
        <v>1</v>
      </c>
      <c r="L19" s="9" t="str">
        <f aca="false">IF(OR(H19="",I19=""),"",H19-7*I19)</f>
        <v/>
      </c>
      <c r="M19" s="9" t="str">
        <f aca="false">IF(OR(H19="",I19=""),"",H19-7*(I19+J19+K19))</f>
        <v/>
      </c>
      <c r="N19" s="6"/>
      <c r="O19" s="6"/>
      <c r="P19" s="7" t="s">
        <v>28</v>
      </c>
      <c r="Q19" s="10" t="str">
        <f aca="true">IF(OR(M19="",P19="Approved",P19="Approved as Noted"),"",M19-TODAY())</f>
        <v/>
      </c>
      <c r="R19" s="4" t="s">
        <v>62</v>
      </c>
      <c r="S19" s="11"/>
      <c r="T19" s="4" t="s">
        <v>108</v>
      </c>
    </row>
    <row r="20" customFormat="false" ht="23.85" hidden="false" customHeight="false" outlineLevel="0" collapsed="false">
      <c r="A20" s="4" t="s">
        <v>109</v>
      </c>
      <c r="B20" s="4" t="n">
        <v>0</v>
      </c>
      <c r="C20" s="5" t="s">
        <v>110</v>
      </c>
      <c r="D20" s="4" t="s">
        <v>111</v>
      </c>
      <c r="E20" s="5" t="s">
        <v>112</v>
      </c>
      <c r="F20" s="4" t="s">
        <v>48</v>
      </c>
      <c r="G20" s="4" t="s">
        <v>113</v>
      </c>
      <c r="H20" s="6"/>
      <c r="I20" s="7"/>
      <c r="J20" s="8" t="n">
        <f aca="false">'Project Rules'!$B$5</f>
        <v>2.14</v>
      </c>
      <c r="K20" s="8" t="n">
        <f aca="false">'Project Rules'!$B$6</f>
        <v>1</v>
      </c>
      <c r="L20" s="9" t="str">
        <f aca="false">IF(OR(H20="",I20=""),"",H20-7*I20)</f>
        <v/>
      </c>
      <c r="M20" s="9" t="str">
        <f aca="false">IF(OR(H20="",I20=""),"",H20-7*(I20+J20+K20))</f>
        <v/>
      </c>
      <c r="N20" s="6"/>
      <c r="O20" s="6"/>
      <c r="P20" s="7" t="s">
        <v>28</v>
      </c>
      <c r="Q20" s="10" t="str">
        <f aca="true">IF(OR(M20="",P20="Approved",P20="Approved as Noted"),"",M20-TODAY())</f>
        <v/>
      </c>
      <c r="R20" s="4" t="s">
        <v>29</v>
      </c>
      <c r="S20" s="11"/>
      <c r="T20" s="4" t="s">
        <v>114</v>
      </c>
    </row>
    <row r="21" customFormat="false" ht="46.25" hidden="false" customHeight="false" outlineLevel="0" collapsed="false">
      <c r="A21" s="12" t="s">
        <v>115</v>
      </c>
      <c r="B21" s="4" t="n">
        <v>0</v>
      </c>
      <c r="C21" s="13" t="s">
        <v>116</v>
      </c>
      <c r="D21" s="12" t="s">
        <v>111</v>
      </c>
      <c r="E21" s="5" t="s">
        <v>112</v>
      </c>
      <c r="F21" s="12" t="s">
        <v>90</v>
      </c>
      <c r="G21" s="12" t="s">
        <v>117</v>
      </c>
      <c r="H21" s="6"/>
      <c r="I21" s="7"/>
      <c r="J21" s="8" t="n">
        <f aca="false">'Project Rules'!$B$5</f>
        <v>2.14</v>
      </c>
      <c r="K21" s="8" t="n">
        <f aca="false">'Project Rules'!$B$6</f>
        <v>1</v>
      </c>
      <c r="L21" s="9" t="str">
        <f aca="false">IF(OR(H21="",I21=""),"",H21-7*I21)</f>
        <v/>
      </c>
      <c r="M21" s="9" t="str">
        <f aca="false">IF(OR(H21="",I21=""),"",H21-7*(I21+J21+K21))</f>
        <v/>
      </c>
      <c r="N21" s="6"/>
      <c r="O21" s="6"/>
      <c r="P21" s="7" t="s">
        <v>28</v>
      </c>
      <c r="Q21" s="10" t="str">
        <f aca="true">IF(OR(M21="",P21="Approved",P21="Approved as Noted"),"",M21-TODAY())</f>
        <v/>
      </c>
      <c r="R21" s="12" t="s">
        <v>29</v>
      </c>
      <c r="S21" s="11" t="s">
        <v>118</v>
      </c>
      <c r="T21" s="4" t="s">
        <v>119</v>
      </c>
    </row>
    <row r="22" customFormat="false" ht="46.25" hidden="false" customHeight="false" outlineLevel="0" collapsed="false">
      <c r="A22" s="12" t="s">
        <v>120</v>
      </c>
      <c r="B22" s="4" t="n">
        <v>0</v>
      </c>
      <c r="C22" s="13" t="s">
        <v>121</v>
      </c>
      <c r="D22" s="12" t="s">
        <v>111</v>
      </c>
      <c r="E22" s="5" t="s">
        <v>112</v>
      </c>
      <c r="F22" s="12" t="s">
        <v>122</v>
      </c>
      <c r="G22" s="12" t="s">
        <v>123</v>
      </c>
      <c r="H22" s="6"/>
      <c r="I22" s="7"/>
      <c r="J22" s="8" t="n">
        <f aca="false">'Project Rules'!$B$5</f>
        <v>2.14</v>
      </c>
      <c r="K22" s="8" t="n">
        <f aca="false">'Project Rules'!$B$6</f>
        <v>1</v>
      </c>
      <c r="L22" s="9" t="str">
        <f aca="false">IF(OR(H22="",I22=""),"",H22-7*I22)</f>
        <v/>
      </c>
      <c r="M22" s="9" t="str">
        <f aca="false">IF(OR(H22="",I22=""),"",H22-7*(I22+J22+K22))</f>
        <v/>
      </c>
      <c r="N22" s="6"/>
      <c r="O22" s="6"/>
      <c r="P22" s="7" t="s">
        <v>28</v>
      </c>
      <c r="Q22" s="10" t="str">
        <f aca="true">IF(OR(M22="",P22="Approved",P22="Approved as Noted"),"",M22-TODAY())</f>
        <v/>
      </c>
      <c r="R22" s="12" t="s">
        <v>29</v>
      </c>
      <c r="S22" s="11" t="s">
        <v>124</v>
      </c>
      <c r="T22" s="4" t="s">
        <v>125</v>
      </c>
    </row>
    <row r="23" customFormat="false" ht="15" hidden="false" customHeight="false" outlineLevel="0" collapsed="false">
      <c r="A23" s="4" t="s">
        <v>126</v>
      </c>
      <c r="B23" s="4" t="n">
        <v>0</v>
      </c>
      <c r="C23" s="5" t="s">
        <v>127</v>
      </c>
      <c r="D23" s="4" t="s">
        <v>111</v>
      </c>
      <c r="E23" s="5" t="s">
        <v>112</v>
      </c>
      <c r="F23" s="4" t="s">
        <v>34</v>
      </c>
      <c r="G23" s="4" t="s">
        <v>128</v>
      </c>
      <c r="H23" s="6"/>
      <c r="I23" s="7"/>
      <c r="J23" s="8" t="n">
        <f aca="false">'Project Rules'!$B$5</f>
        <v>2.14</v>
      </c>
      <c r="K23" s="8" t="n">
        <f aca="false">'Project Rules'!$B$6</f>
        <v>1</v>
      </c>
      <c r="L23" s="9" t="str">
        <f aca="false">IF(OR(H23="",I23=""),"",H23-7*I23)</f>
        <v/>
      </c>
      <c r="M23" s="9" t="str">
        <f aca="false">IF(OR(H23="",I23=""),"",H23-7*(I23+J23+K23))</f>
        <v/>
      </c>
      <c r="N23" s="6"/>
      <c r="O23" s="6"/>
      <c r="P23" s="7" t="s">
        <v>28</v>
      </c>
      <c r="Q23" s="10" t="str">
        <f aca="true">IF(OR(M23="",P23="Approved",P23="Approved as Noted"),"",M23-TODAY())</f>
        <v/>
      </c>
      <c r="R23" s="4" t="s">
        <v>29</v>
      </c>
      <c r="S23" s="11"/>
      <c r="T23" s="4" t="s">
        <v>129</v>
      </c>
    </row>
    <row r="24" customFormat="false" ht="15" hidden="false" customHeight="false" outlineLevel="0" collapsed="false">
      <c r="A24" s="4" t="s">
        <v>130</v>
      </c>
      <c r="B24" s="4" t="n">
        <v>0</v>
      </c>
      <c r="C24" s="5" t="s">
        <v>131</v>
      </c>
      <c r="D24" s="4" t="s">
        <v>111</v>
      </c>
      <c r="E24" s="5" t="s">
        <v>112</v>
      </c>
      <c r="F24" s="4" t="s">
        <v>132</v>
      </c>
      <c r="G24" s="4" t="s">
        <v>133</v>
      </c>
      <c r="H24" s="6"/>
      <c r="I24" s="7"/>
      <c r="J24" s="8" t="n">
        <f aca="false">'Project Rules'!$B$5</f>
        <v>2.14</v>
      </c>
      <c r="K24" s="8" t="n">
        <f aca="false">'Project Rules'!$B$6</f>
        <v>1</v>
      </c>
      <c r="L24" s="9" t="str">
        <f aca="false">IF(OR(H24="",I24=""),"",H24-7*I24)</f>
        <v/>
      </c>
      <c r="M24" s="9" t="str">
        <f aca="false">IF(OR(H24="",I24=""),"",H24-7*(I24+J24+K24))</f>
        <v/>
      </c>
      <c r="N24" s="6"/>
      <c r="O24" s="6"/>
      <c r="P24" s="7" t="s">
        <v>28</v>
      </c>
      <c r="Q24" s="10" t="str">
        <f aca="true">IF(OR(M24="",P24="Approved",P24="Approved as Noted"),"",M24-TODAY())</f>
        <v/>
      </c>
      <c r="R24" s="4" t="s">
        <v>29</v>
      </c>
      <c r="S24" s="11"/>
      <c r="T24" s="4" t="s">
        <v>134</v>
      </c>
    </row>
    <row r="25" customFormat="false" ht="15" hidden="false" customHeight="false" outlineLevel="0" collapsed="false">
      <c r="A25" s="4" t="s">
        <v>135</v>
      </c>
      <c r="B25" s="4" t="n">
        <v>0</v>
      </c>
      <c r="C25" s="5" t="s">
        <v>136</v>
      </c>
      <c r="D25" s="4" t="s">
        <v>111</v>
      </c>
      <c r="E25" s="5" t="s">
        <v>112</v>
      </c>
      <c r="F25" s="4" t="s">
        <v>48</v>
      </c>
      <c r="G25" s="4" t="s">
        <v>137</v>
      </c>
      <c r="H25" s="6"/>
      <c r="I25" s="7"/>
      <c r="J25" s="8" t="n">
        <f aca="false">'Project Rules'!$B$5</f>
        <v>2.14</v>
      </c>
      <c r="K25" s="8" t="n">
        <f aca="false">'Project Rules'!$B$6</f>
        <v>1</v>
      </c>
      <c r="L25" s="9" t="str">
        <f aca="false">IF(OR(H25="",I25=""),"",H25-7*I25)</f>
        <v/>
      </c>
      <c r="M25" s="9" t="str">
        <f aca="false">IF(OR(H25="",I25=""),"",H25-7*(I25+J25+K25))</f>
        <v/>
      </c>
      <c r="N25" s="6"/>
      <c r="O25" s="6"/>
      <c r="P25" s="7" t="s">
        <v>28</v>
      </c>
      <c r="Q25" s="10" t="str">
        <f aca="true">IF(OR(M25="",P25="Approved",P25="Approved as Noted"),"",M25-TODAY())</f>
        <v/>
      </c>
      <c r="R25" s="4" t="s">
        <v>29</v>
      </c>
      <c r="S25" s="11"/>
      <c r="T25" s="4" t="s">
        <v>138</v>
      </c>
    </row>
    <row r="26" customFormat="false" ht="15" hidden="false" customHeight="false" outlineLevel="0" collapsed="false">
      <c r="A26" s="4" t="s">
        <v>139</v>
      </c>
      <c r="B26" s="4" t="n">
        <v>0</v>
      </c>
      <c r="C26" s="5" t="s">
        <v>140</v>
      </c>
      <c r="D26" s="4" t="s">
        <v>141</v>
      </c>
      <c r="E26" s="5" t="s">
        <v>142</v>
      </c>
      <c r="F26" s="4" t="s">
        <v>48</v>
      </c>
      <c r="G26" s="4" t="s">
        <v>143</v>
      </c>
      <c r="H26" s="6"/>
      <c r="I26" s="7"/>
      <c r="J26" s="8" t="n">
        <f aca="false">'Project Rules'!$B$5</f>
        <v>2.14</v>
      </c>
      <c r="K26" s="8" t="n">
        <f aca="false">'Project Rules'!$B$6</f>
        <v>1</v>
      </c>
      <c r="L26" s="9" t="str">
        <f aca="false">IF(OR(H26="",I26=""),"",H26-7*I26)</f>
        <v/>
      </c>
      <c r="M26" s="9" t="str">
        <f aca="false">IF(OR(H26="",I26=""),"",H26-7*(I26+J26+K26))</f>
        <v/>
      </c>
      <c r="N26" s="6"/>
      <c r="O26" s="6"/>
      <c r="P26" s="7" t="s">
        <v>28</v>
      </c>
      <c r="Q26" s="10" t="str">
        <f aca="true">IF(OR(M26="",P26="Approved",P26="Approved as Noted"),"",M26-TODAY())</f>
        <v/>
      </c>
      <c r="R26" s="4" t="s">
        <v>62</v>
      </c>
      <c r="S26" s="11"/>
      <c r="T26" s="4" t="s">
        <v>144</v>
      </c>
    </row>
    <row r="27" customFormat="false" ht="15" hidden="false" customHeight="false" outlineLevel="0" collapsed="false">
      <c r="A27" s="4" t="s">
        <v>145</v>
      </c>
      <c r="B27" s="4" t="n">
        <v>0</v>
      </c>
      <c r="C27" s="5" t="s">
        <v>146</v>
      </c>
      <c r="D27" s="4" t="s">
        <v>141</v>
      </c>
      <c r="E27" s="5" t="s">
        <v>142</v>
      </c>
      <c r="F27" s="4" t="s">
        <v>48</v>
      </c>
      <c r="G27" s="4" t="s">
        <v>147</v>
      </c>
      <c r="H27" s="6"/>
      <c r="I27" s="7"/>
      <c r="J27" s="8" t="n">
        <f aca="false">'Project Rules'!$B$5</f>
        <v>2.14</v>
      </c>
      <c r="K27" s="8" t="n">
        <f aca="false">'Project Rules'!$B$6</f>
        <v>1</v>
      </c>
      <c r="L27" s="9" t="str">
        <f aca="false">IF(OR(H27="",I27=""),"",H27-7*I27)</f>
        <v/>
      </c>
      <c r="M27" s="9" t="str">
        <f aca="false">IF(OR(H27="",I27=""),"",H27-7*(I27+J27+K27))</f>
        <v/>
      </c>
      <c r="N27" s="6"/>
      <c r="O27" s="6"/>
      <c r="P27" s="7" t="s">
        <v>28</v>
      </c>
      <c r="Q27" s="10" t="str">
        <f aca="true">IF(OR(M27="",P27="Approved",P27="Approved as Noted"),"",M27-TODAY())</f>
        <v/>
      </c>
      <c r="R27" s="4" t="s">
        <v>62</v>
      </c>
      <c r="S27" s="11"/>
      <c r="T27" s="4" t="s">
        <v>148</v>
      </c>
    </row>
    <row r="28" customFormat="false" ht="15" hidden="false" customHeight="false" outlineLevel="0" collapsed="false">
      <c r="A28" s="4" t="s">
        <v>149</v>
      </c>
      <c r="B28" s="4" t="n">
        <v>0</v>
      </c>
      <c r="C28" s="5" t="s">
        <v>150</v>
      </c>
      <c r="D28" s="4" t="s">
        <v>141</v>
      </c>
      <c r="E28" s="5" t="s">
        <v>142</v>
      </c>
      <c r="F28" s="4" t="s">
        <v>34</v>
      </c>
      <c r="G28" s="4" t="s">
        <v>151</v>
      </c>
      <c r="H28" s="6"/>
      <c r="I28" s="7"/>
      <c r="J28" s="8" t="n">
        <f aca="false">'Project Rules'!$B$5</f>
        <v>2.14</v>
      </c>
      <c r="K28" s="8" t="n">
        <f aca="false">'Project Rules'!$B$6</f>
        <v>1</v>
      </c>
      <c r="L28" s="9" t="str">
        <f aca="false">IF(OR(H28="",I28=""),"",H28-7*I28)</f>
        <v/>
      </c>
      <c r="M28" s="9" t="str">
        <f aca="false">IF(OR(H28="",I28=""),"",H28-7*(I28+J28+K28))</f>
        <v/>
      </c>
      <c r="N28" s="6"/>
      <c r="O28" s="6"/>
      <c r="P28" s="7" t="s">
        <v>28</v>
      </c>
      <c r="Q28" s="10" t="str">
        <f aca="true">IF(OR(M28="",P28="Approved",P28="Approved as Noted"),"",M28-TODAY())</f>
        <v/>
      </c>
      <c r="R28" s="4" t="s">
        <v>62</v>
      </c>
      <c r="S28" s="11"/>
      <c r="T28" s="4" t="s">
        <v>152</v>
      </c>
    </row>
    <row r="29" customFormat="false" ht="15" hidden="false" customHeight="false" outlineLevel="0" collapsed="false">
      <c r="A29" s="4" t="s">
        <v>153</v>
      </c>
      <c r="B29" s="4" t="n">
        <v>0</v>
      </c>
      <c r="C29" s="5" t="s">
        <v>154</v>
      </c>
      <c r="D29" s="4" t="s">
        <v>141</v>
      </c>
      <c r="E29" s="5" t="s">
        <v>142</v>
      </c>
      <c r="F29" s="4" t="s">
        <v>34</v>
      </c>
      <c r="G29" s="4" t="s">
        <v>155</v>
      </c>
      <c r="H29" s="6"/>
      <c r="I29" s="7"/>
      <c r="J29" s="8" t="n">
        <f aca="false">'Project Rules'!$B$5</f>
        <v>2.14</v>
      </c>
      <c r="K29" s="8" t="n">
        <f aca="false">'Project Rules'!$B$6</f>
        <v>1</v>
      </c>
      <c r="L29" s="9" t="str">
        <f aca="false">IF(OR(H29="",I29=""),"",H29-7*I29)</f>
        <v/>
      </c>
      <c r="M29" s="9" t="str">
        <f aca="false">IF(OR(H29="",I29=""),"",H29-7*(I29+J29+K29))</f>
        <v/>
      </c>
      <c r="N29" s="6"/>
      <c r="O29" s="6"/>
      <c r="P29" s="7" t="s">
        <v>28</v>
      </c>
      <c r="Q29" s="10" t="str">
        <f aca="true">IF(OR(M29="",P29="Approved",P29="Approved as Noted"),"",M29-TODAY())</f>
        <v/>
      </c>
      <c r="R29" s="4" t="s">
        <v>62</v>
      </c>
      <c r="S29" s="11"/>
      <c r="T29" s="4" t="s">
        <v>156</v>
      </c>
    </row>
    <row r="30" customFormat="false" ht="23.85" hidden="false" customHeight="false" outlineLevel="0" collapsed="false">
      <c r="A30" s="4" t="s">
        <v>157</v>
      </c>
      <c r="B30" s="4" t="n">
        <v>0</v>
      </c>
      <c r="C30" s="5" t="s">
        <v>158</v>
      </c>
      <c r="D30" s="4" t="s">
        <v>159</v>
      </c>
      <c r="E30" s="5" t="s">
        <v>160</v>
      </c>
      <c r="F30" s="4" t="s">
        <v>161</v>
      </c>
      <c r="G30" s="4" t="s">
        <v>162</v>
      </c>
      <c r="H30" s="6"/>
      <c r="I30" s="7"/>
      <c r="J30" s="8" t="n">
        <f aca="false">'Project Rules'!$B$5</f>
        <v>2.14</v>
      </c>
      <c r="K30" s="8" t="n">
        <f aca="false">'Project Rules'!$B$6</f>
        <v>1</v>
      </c>
      <c r="L30" s="9" t="str">
        <f aca="false">IF(OR(H30="",I30=""),"",H30-7*I30)</f>
        <v/>
      </c>
      <c r="M30" s="9" t="str">
        <f aca="false">IF(OR(H30="",I30=""),"",H30-7*(I30+J30+K30))</f>
        <v/>
      </c>
      <c r="N30" s="6"/>
      <c r="O30" s="6"/>
      <c r="P30" s="7" t="s">
        <v>28</v>
      </c>
      <c r="Q30" s="10" t="str">
        <f aca="true">IF(OR(M30="",P30="Approved",P30="Approved as Noted"),"",M30-TODAY())</f>
        <v/>
      </c>
      <c r="R30" s="4" t="s">
        <v>163</v>
      </c>
      <c r="S30" s="11" t="s">
        <v>164</v>
      </c>
      <c r="T30" s="4" t="s">
        <v>165</v>
      </c>
    </row>
    <row r="31" customFormat="false" ht="15" hidden="false" customHeight="false" outlineLevel="0" collapsed="false">
      <c r="A31" s="4" t="s">
        <v>166</v>
      </c>
      <c r="B31" s="4" t="n">
        <v>0</v>
      </c>
      <c r="C31" s="5" t="s">
        <v>167</v>
      </c>
      <c r="D31" s="4" t="s">
        <v>159</v>
      </c>
      <c r="E31" s="5" t="s">
        <v>160</v>
      </c>
      <c r="F31" s="4" t="s">
        <v>161</v>
      </c>
      <c r="G31" s="4" t="s">
        <v>168</v>
      </c>
      <c r="H31" s="6"/>
      <c r="I31" s="7"/>
      <c r="J31" s="8" t="n">
        <f aca="false">'Project Rules'!$B$5</f>
        <v>2.14</v>
      </c>
      <c r="K31" s="8" t="n">
        <f aca="false">'Project Rules'!$B$6</f>
        <v>1</v>
      </c>
      <c r="L31" s="9" t="str">
        <f aca="false">IF(OR(H31="",I31=""),"",H31-7*I31)</f>
        <v/>
      </c>
      <c r="M31" s="9" t="str">
        <f aca="false">IF(OR(H31="",I31=""),"",H31-7*(I31+J31+K31))</f>
        <v/>
      </c>
      <c r="N31" s="6"/>
      <c r="O31" s="6"/>
      <c r="P31" s="7" t="s">
        <v>28</v>
      </c>
      <c r="Q31" s="10" t="str">
        <f aca="true">IF(OR(M31="",P31="Approved",P31="Approved as Noted"),"",M31-TODAY())</f>
        <v/>
      </c>
      <c r="R31" s="4" t="s">
        <v>62</v>
      </c>
      <c r="S31" s="11"/>
      <c r="T31" s="4" t="s">
        <v>169</v>
      </c>
    </row>
    <row r="32" customFormat="false" ht="15" hidden="false" customHeight="false" outlineLevel="0" collapsed="false">
      <c r="A32" s="4" t="s">
        <v>170</v>
      </c>
      <c r="B32" s="4" t="n">
        <v>0</v>
      </c>
      <c r="C32" s="5" t="s">
        <v>171</v>
      </c>
      <c r="D32" s="4" t="s">
        <v>159</v>
      </c>
      <c r="E32" s="5" t="s">
        <v>160</v>
      </c>
      <c r="F32" s="4" t="s">
        <v>161</v>
      </c>
      <c r="G32" s="4" t="s">
        <v>172</v>
      </c>
      <c r="H32" s="6"/>
      <c r="I32" s="7"/>
      <c r="J32" s="8" t="n">
        <f aca="false">'Project Rules'!$B$5</f>
        <v>2.14</v>
      </c>
      <c r="K32" s="8" t="n">
        <f aca="false">'Project Rules'!$B$6</f>
        <v>1</v>
      </c>
      <c r="L32" s="9" t="str">
        <f aca="false">IF(OR(H32="",I32=""),"",H32-7*I32)</f>
        <v/>
      </c>
      <c r="M32" s="9" t="str">
        <f aca="false">IF(OR(H32="",I32=""),"",H32-7*(I32+J32+K32))</f>
        <v/>
      </c>
      <c r="N32" s="6"/>
      <c r="O32" s="6"/>
      <c r="P32" s="7" t="s">
        <v>28</v>
      </c>
      <c r="Q32" s="10" t="str">
        <f aca="true">IF(OR(M32="",P32="Approved",P32="Approved as Noted"),"",M32-TODAY())</f>
        <v/>
      </c>
      <c r="R32" s="4" t="s">
        <v>62</v>
      </c>
      <c r="S32" s="11"/>
      <c r="T32" s="4" t="s">
        <v>173</v>
      </c>
    </row>
    <row r="33" customFormat="false" ht="23.85" hidden="false" customHeight="false" outlineLevel="0" collapsed="false">
      <c r="A33" s="4" t="s">
        <v>174</v>
      </c>
      <c r="B33" s="4" t="n">
        <v>0</v>
      </c>
      <c r="C33" s="5" t="s">
        <v>175</v>
      </c>
      <c r="D33" s="4" t="s">
        <v>159</v>
      </c>
      <c r="E33" s="5" t="s">
        <v>160</v>
      </c>
      <c r="F33" s="4" t="s">
        <v>161</v>
      </c>
      <c r="G33" s="4" t="s">
        <v>176</v>
      </c>
      <c r="H33" s="6"/>
      <c r="I33" s="7"/>
      <c r="J33" s="8" t="n">
        <f aca="false">'Project Rules'!$B$5</f>
        <v>2.14</v>
      </c>
      <c r="K33" s="8" t="n">
        <f aca="false">'Project Rules'!$B$6</f>
        <v>1</v>
      </c>
      <c r="L33" s="9" t="str">
        <f aca="false">IF(OR(H33="",I33=""),"",H33-7*I33)</f>
        <v/>
      </c>
      <c r="M33" s="9" t="str">
        <f aca="false">IF(OR(H33="",I33=""),"",H33-7*(I33+J33+K33))</f>
        <v/>
      </c>
      <c r="N33" s="6"/>
      <c r="O33" s="6"/>
      <c r="P33" s="7" t="s">
        <v>28</v>
      </c>
      <c r="Q33" s="10" t="str">
        <f aca="true">IF(OR(M33="",P33="Approved",P33="Approved as Noted"),"",M33-TODAY())</f>
        <v/>
      </c>
      <c r="R33" s="4" t="s">
        <v>62</v>
      </c>
      <c r="S33" s="11"/>
      <c r="T33" s="4" t="s">
        <v>177</v>
      </c>
    </row>
    <row r="34" customFormat="false" ht="15" hidden="false" customHeight="false" outlineLevel="0" collapsed="false">
      <c r="A34" s="4" t="s">
        <v>178</v>
      </c>
      <c r="B34" s="4" t="n">
        <v>0</v>
      </c>
      <c r="C34" s="5" t="s">
        <v>179</v>
      </c>
      <c r="D34" s="4" t="s">
        <v>180</v>
      </c>
      <c r="E34" s="5" t="s">
        <v>181</v>
      </c>
      <c r="F34" s="4" t="s">
        <v>34</v>
      </c>
      <c r="G34" s="4" t="s">
        <v>182</v>
      </c>
      <c r="H34" s="6"/>
      <c r="I34" s="7"/>
      <c r="J34" s="8" t="n">
        <f aca="false">'Project Rules'!$B$5</f>
        <v>2.14</v>
      </c>
      <c r="K34" s="8" t="n">
        <f aca="false">'Project Rules'!$B$6</f>
        <v>1</v>
      </c>
      <c r="L34" s="9" t="str">
        <f aca="false">IF(OR(H34="",I34=""),"",H34-7*I34)</f>
        <v/>
      </c>
      <c r="M34" s="9" t="str">
        <f aca="false">IF(OR(H34="",I34=""),"",H34-7*(I34+J34+K34))</f>
        <v/>
      </c>
      <c r="N34" s="6"/>
      <c r="O34" s="6"/>
      <c r="P34" s="7" t="s">
        <v>28</v>
      </c>
      <c r="Q34" s="10" t="str">
        <f aca="true">IF(OR(M34="",P34="Approved",P34="Approved as Noted"),"",M34-TODAY())</f>
        <v/>
      </c>
      <c r="R34" s="4" t="s">
        <v>62</v>
      </c>
      <c r="S34" s="11"/>
      <c r="T34" s="4" t="s">
        <v>183</v>
      </c>
    </row>
    <row r="35" customFormat="false" ht="15" hidden="false" customHeight="false" outlineLevel="0" collapsed="false">
      <c r="A35" s="4" t="s">
        <v>184</v>
      </c>
      <c r="B35" s="4" t="n">
        <v>0</v>
      </c>
      <c r="C35" s="5" t="s">
        <v>185</v>
      </c>
      <c r="D35" s="4" t="s">
        <v>180</v>
      </c>
      <c r="E35" s="5" t="s">
        <v>181</v>
      </c>
      <c r="F35" s="4" t="s">
        <v>34</v>
      </c>
      <c r="G35" s="4" t="s">
        <v>186</v>
      </c>
      <c r="H35" s="6"/>
      <c r="I35" s="7"/>
      <c r="J35" s="8" t="n">
        <f aca="false">'Project Rules'!$B$5</f>
        <v>2.14</v>
      </c>
      <c r="K35" s="8" t="n">
        <f aca="false">'Project Rules'!$B$6</f>
        <v>1</v>
      </c>
      <c r="L35" s="9" t="str">
        <f aca="false">IF(OR(H35="",I35=""),"",H35-7*I35)</f>
        <v/>
      </c>
      <c r="M35" s="9" t="str">
        <f aca="false">IF(OR(H35="",I35=""),"",H35-7*(I35+J35+K35))</f>
        <v/>
      </c>
      <c r="N35" s="6"/>
      <c r="O35" s="6"/>
      <c r="P35" s="7" t="s">
        <v>28</v>
      </c>
      <c r="Q35" s="10" t="str">
        <f aca="true">IF(OR(M35="",P35="Approved",P35="Approved as Noted"),"",M35-TODAY())</f>
        <v/>
      </c>
      <c r="R35" s="4" t="s">
        <v>62</v>
      </c>
      <c r="S35" s="11"/>
      <c r="T35" s="4" t="s">
        <v>187</v>
      </c>
    </row>
    <row r="36" customFormat="false" ht="15" hidden="false" customHeight="false" outlineLevel="0" collapsed="false">
      <c r="A36" s="4" t="s">
        <v>188</v>
      </c>
      <c r="B36" s="4" t="n">
        <v>0</v>
      </c>
      <c r="C36" s="5" t="s">
        <v>189</v>
      </c>
      <c r="D36" s="4" t="s">
        <v>180</v>
      </c>
      <c r="E36" s="5" t="s">
        <v>181</v>
      </c>
      <c r="F36" s="4" t="s">
        <v>26</v>
      </c>
      <c r="G36" s="4" t="s">
        <v>190</v>
      </c>
      <c r="H36" s="6"/>
      <c r="I36" s="7"/>
      <c r="J36" s="8" t="n">
        <f aca="false">'Project Rules'!$B$5</f>
        <v>2.14</v>
      </c>
      <c r="K36" s="8" t="n">
        <f aca="false">'Project Rules'!$B$6</f>
        <v>1</v>
      </c>
      <c r="L36" s="9" t="str">
        <f aca="false">IF(OR(H36="",I36=""),"",H36-7*I36)</f>
        <v/>
      </c>
      <c r="M36" s="9" t="str">
        <f aca="false">IF(OR(H36="",I36=""),"",H36-7*(I36+J36+K36))</f>
        <v/>
      </c>
      <c r="N36" s="6"/>
      <c r="O36" s="6"/>
      <c r="P36" s="7" t="s">
        <v>28</v>
      </c>
      <c r="Q36" s="10" t="str">
        <f aca="true">IF(OR(M36="",P36="Approved",P36="Approved as Noted"),"",M36-TODAY())</f>
        <v/>
      </c>
      <c r="R36" s="4" t="s">
        <v>62</v>
      </c>
      <c r="S36" s="11"/>
      <c r="T36" s="4" t="s">
        <v>191</v>
      </c>
    </row>
    <row r="37" customFormat="false" ht="15" hidden="false" customHeight="false" outlineLevel="0" collapsed="false">
      <c r="A37" s="4" t="s">
        <v>192</v>
      </c>
      <c r="B37" s="4" t="n">
        <v>0</v>
      </c>
      <c r="C37" s="5" t="s">
        <v>193</v>
      </c>
      <c r="D37" s="4" t="s">
        <v>180</v>
      </c>
      <c r="E37" s="5" t="s">
        <v>181</v>
      </c>
      <c r="F37" s="4" t="s">
        <v>34</v>
      </c>
      <c r="G37" s="4" t="s">
        <v>194</v>
      </c>
      <c r="H37" s="6"/>
      <c r="I37" s="7"/>
      <c r="J37" s="8" t="n">
        <f aca="false">'Project Rules'!$B$5</f>
        <v>2.14</v>
      </c>
      <c r="K37" s="8" t="n">
        <f aca="false">'Project Rules'!$B$6</f>
        <v>1</v>
      </c>
      <c r="L37" s="9" t="str">
        <f aca="false">IF(OR(H37="",I37=""),"",H37-7*I37)</f>
        <v/>
      </c>
      <c r="M37" s="9" t="str">
        <f aca="false">IF(OR(H37="",I37=""),"",H37-7*(I37+J37+K37))</f>
        <v/>
      </c>
      <c r="N37" s="6"/>
      <c r="O37" s="6"/>
      <c r="P37" s="7" t="s">
        <v>28</v>
      </c>
      <c r="Q37" s="10" t="str">
        <f aca="true">IF(OR(M37="",P37="Approved",P37="Approved as Noted"),"",M37-TODAY())</f>
        <v/>
      </c>
      <c r="R37" s="4" t="s">
        <v>62</v>
      </c>
      <c r="S37" s="11"/>
      <c r="T37" s="4" t="s">
        <v>195</v>
      </c>
    </row>
    <row r="38" customFormat="false" ht="15" hidden="false" customHeight="false" outlineLevel="0" collapsed="false">
      <c r="A38" s="4" t="s">
        <v>196</v>
      </c>
      <c r="B38" s="4" t="n">
        <v>0</v>
      </c>
      <c r="C38" s="5" t="s">
        <v>197</v>
      </c>
      <c r="D38" s="4" t="s">
        <v>180</v>
      </c>
      <c r="E38" s="5" t="s">
        <v>181</v>
      </c>
      <c r="F38" s="4" t="s">
        <v>48</v>
      </c>
      <c r="G38" s="4" t="s">
        <v>198</v>
      </c>
      <c r="H38" s="6"/>
      <c r="I38" s="7"/>
      <c r="J38" s="8" t="n">
        <f aca="false">'Project Rules'!$B$5</f>
        <v>2.14</v>
      </c>
      <c r="K38" s="8" t="n">
        <f aca="false">'Project Rules'!$B$6</f>
        <v>1</v>
      </c>
      <c r="L38" s="9" t="str">
        <f aca="false">IF(OR(H38="",I38=""),"",H38-7*I38)</f>
        <v/>
      </c>
      <c r="M38" s="9" t="str">
        <f aca="false">IF(OR(H38="",I38=""),"",H38-7*(I38+J38+K38))</f>
        <v/>
      </c>
      <c r="N38" s="6"/>
      <c r="O38" s="6"/>
      <c r="P38" s="7" t="s">
        <v>28</v>
      </c>
      <c r="Q38" s="10" t="str">
        <f aca="true">IF(OR(M38="",P38="Approved",P38="Approved as Noted"),"",M38-TODAY())</f>
        <v/>
      </c>
      <c r="R38" s="4" t="s">
        <v>62</v>
      </c>
      <c r="S38" s="11"/>
      <c r="T38" s="4" t="s">
        <v>199</v>
      </c>
    </row>
    <row r="39" customFormat="false" ht="15" hidden="false" customHeight="false" outlineLevel="0" collapsed="false">
      <c r="A39" s="4" t="s">
        <v>200</v>
      </c>
      <c r="B39" s="4" t="n">
        <v>0</v>
      </c>
      <c r="C39" s="5" t="s">
        <v>201</v>
      </c>
      <c r="D39" s="4" t="s">
        <v>180</v>
      </c>
      <c r="E39" s="5" t="s">
        <v>181</v>
      </c>
      <c r="F39" s="4" t="s">
        <v>34</v>
      </c>
      <c r="G39" s="4" t="s">
        <v>202</v>
      </c>
      <c r="H39" s="6"/>
      <c r="I39" s="7"/>
      <c r="J39" s="8" t="n">
        <f aca="false">'Project Rules'!$B$5</f>
        <v>2.14</v>
      </c>
      <c r="K39" s="8" t="n">
        <f aca="false">'Project Rules'!$B$6</f>
        <v>1</v>
      </c>
      <c r="L39" s="9" t="str">
        <f aca="false">IF(OR(H39="",I39=""),"",H39-7*I39)</f>
        <v/>
      </c>
      <c r="M39" s="9" t="str">
        <f aca="false">IF(OR(H39="",I39=""),"",H39-7*(I39+J39+K39))</f>
        <v/>
      </c>
      <c r="N39" s="6"/>
      <c r="O39" s="6"/>
      <c r="P39" s="7" t="s">
        <v>28</v>
      </c>
      <c r="Q39" s="10" t="str">
        <f aca="true">IF(OR(M39="",P39="Approved",P39="Approved as Noted"),"",M39-TODAY())</f>
        <v/>
      </c>
      <c r="R39" s="4" t="s">
        <v>62</v>
      </c>
      <c r="S39" s="11"/>
      <c r="T39" s="4" t="s">
        <v>203</v>
      </c>
    </row>
    <row r="40" customFormat="false" ht="15" hidden="false" customHeight="false" outlineLevel="0" collapsed="false">
      <c r="A40" s="4" t="s">
        <v>204</v>
      </c>
      <c r="B40" s="4" t="n">
        <v>0</v>
      </c>
      <c r="C40" s="5" t="s">
        <v>179</v>
      </c>
      <c r="D40" s="4" t="s">
        <v>205</v>
      </c>
      <c r="E40" s="5" t="s">
        <v>206</v>
      </c>
      <c r="F40" s="4" t="s">
        <v>34</v>
      </c>
      <c r="G40" s="4" t="s">
        <v>207</v>
      </c>
      <c r="H40" s="6"/>
      <c r="I40" s="7"/>
      <c r="J40" s="8" t="n">
        <f aca="false">'Project Rules'!$B$5</f>
        <v>2.14</v>
      </c>
      <c r="K40" s="8" t="n">
        <f aca="false">'Project Rules'!$B$6</f>
        <v>1</v>
      </c>
      <c r="L40" s="9" t="str">
        <f aca="false">IF(OR(H40="",I40=""),"",H40-7*I40)</f>
        <v/>
      </c>
      <c r="M40" s="9" t="str">
        <f aca="false">IF(OR(H40="",I40=""),"",H40-7*(I40+J40+K40))</f>
        <v/>
      </c>
      <c r="N40" s="6"/>
      <c r="O40" s="6"/>
      <c r="P40" s="7" t="s">
        <v>28</v>
      </c>
      <c r="Q40" s="10" t="str">
        <f aca="true">IF(OR(M40="",P40="Approved",P40="Approved as Noted"),"",M40-TODAY())</f>
        <v/>
      </c>
      <c r="R40" s="4" t="s">
        <v>62</v>
      </c>
      <c r="S40" s="11"/>
      <c r="T40" s="4" t="s">
        <v>183</v>
      </c>
    </row>
    <row r="41" customFormat="false" ht="15" hidden="false" customHeight="false" outlineLevel="0" collapsed="false">
      <c r="A41" s="4" t="s">
        <v>208</v>
      </c>
      <c r="B41" s="4" t="n">
        <v>0</v>
      </c>
      <c r="C41" s="5" t="s">
        <v>185</v>
      </c>
      <c r="D41" s="4" t="s">
        <v>205</v>
      </c>
      <c r="E41" s="5" t="s">
        <v>206</v>
      </c>
      <c r="F41" s="4" t="s">
        <v>34</v>
      </c>
      <c r="G41" s="4" t="s">
        <v>209</v>
      </c>
      <c r="H41" s="6"/>
      <c r="I41" s="7"/>
      <c r="J41" s="8" t="n">
        <f aca="false">'Project Rules'!$B$5</f>
        <v>2.14</v>
      </c>
      <c r="K41" s="8" t="n">
        <f aca="false">'Project Rules'!$B$6</f>
        <v>1</v>
      </c>
      <c r="L41" s="9" t="str">
        <f aca="false">IF(OR(H41="",I41=""),"",H41-7*I41)</f>
        <v/>
      </c>
      <c r="M41" s="9" t="str">
        <f aca="false">IF(OR(H41="",I41=""),"",H41-7*(I41+J41+K41))</f>
        <v/>
      </c>
      <c r="N41" s="6"/>
      <c r="O41" s="6"/>
      <c r="P41" s="7" t="s">
        <v>28</v>
      </c>
      <c r="Q41" s="10" t="str">
        <f aca="true">IF(OR(M41="",P41="Approved",P41="Approved as Noted"),"",M41-TODAY())</f>
        <v/>
      </c>
      <c r="R41" s="4" t="s">
        <v>62</v>
      </c>
      <c r="S41" s="11"/>
      <c r="T41" s="4" t="s">
        <v>210</v>
      </c>
    </row>
    <row r="42" customFormat="false" ht="15" hidden="false" customHeight="false" outlineLevel="0" collapsed="false">
      <c r="A42" s="4" t="s">
        <v>211</v>
      </c>
      <c r="B42" s="4" t="n">
        <v>0</v>
      </c>
      <c r="C42" s="5" t="s">
        <v>212</v>
      </c>
      <c r="D42" s="4" t="s">
        <v>205</v>
      </c>
      <c r="E42" s="5" t="s">
        <v>206</v>
      </c>
      <c r="F42" s="4" t="s">
        <v>26</v>
      </c>
      <c r="G42" s="4" t="s">
        <v>213</v>
      </c>
      <c r="H42" s="6"/>
      <c r="I42" s="7"/>
      <c r="J42" s="8" t="n">
        <f aca="false">'Project Rules'!$B$5</f>
        <v>2.14</v>
      </c>
      <c r="K42" s="8" t="n">
        <f aca="false">'Project Rules'!$B$6</f>
        <v>1</v>
      </c>
      <c r="L42" s="9" t="str">
        <f aca="false">IF(OR(H42="",I42=""),"",H42-7*I42)</f>
        <v/>
      </c>
      <c r="M42" s="9" t="str">
        <f aca="false">IF(OR(H42="",I42=""),"",H42-7*(I42+J42+K42))</f>
        <v/>
      </c>
      <c r="N42" s="6"/>
      <c r="O42" s="6"/>
      <c r="P42" s="7" t="s">
        <v>28</v>
      </c>
      <c r="Q42" s="10" t="str">
        <f aca="true">IF(OR(M42="",P42="Approved",P42="Approved as Noted"),"",M42-TODAY())</f>
        <v/>
      </c>
      <c r="R42" s="4" t="s">
        <v>62</v>
      </c>
      <c r="S42" s="11"/>
      <c r="T42" s="4" t="s">
        <v>214</v>
      </c>
    </row>
    <row r="43" customFormat="false" ht="15" hidden="false" customHeight="false" outlineLevel="0" collapsed="false">
      <c r="A43" s="4" t="s">
        <v>215</v>
      </c>
      <c r="B43" s="4" t="n">
        <v>0</v>
      </c>
      <c r="C43" s="5" t="s">
        <v>193</v>
      </c>
      <c r="D43" s="4" t="s">
        <v>205</v>
      </c>
      <c r="E43" s="5" t="s">
        <v>206</v>
      </c>
      <c r="F43" s="4" t="s">
        <v>34</v>
      </c>
      <c r="G43" s="4" t="s">
        <v>216</v>
      </c>
      <c r="H43" s="6"/>
      <c r="I43" s="7"/>
      <c r="J43" s="8" t="n">
        <f aca="false">'Project Rules'!$B$5</f>
        <v>2.14</v>
      </c>
      <c r="K43" s="8" t="n">
        <f aca="false">'Project Rules'!$B$6</f>
        <v>1</v>
      </c>
      <c r="L43" s="9" t="str">
        <f aca="false">IF(OR(H43="",I43=""),"",H43-7*I43)</f>
        <v/>
      </c>
      <c r="M43" s="9" t="str">
        <f aca="false">IF(OR(H43="",I43=""),"",H43-7*(I43+J43+K43))</f>
        <v/>
      </c>
      <c r="N43" s="6"/>
      <c r="O43" s="6"/>
      <c r="P43" s="7" t="s">
        <v>28</v>
      </c>
      <c r="Q43" s="10" t="str">
        <f aca="true">IF(OR(M43="",P43="Approved",P43="Approved as Noted"),"",M43-TODAY())</f>
        <v/>
      </c>
      <c r="R43" s="4" t="s">
        <v>62</v>
      </c>
      <c r="S43" s="11"/>
      <c r="T43" s="4" t="s">
        <v>195</v>
      </c>
    </row>
    <row r="44" customFormat="false" ht="15" hidden="false" customHeight="false" outlineLevel="0" collapsed="false">
      <c r="A44" s="4" t="s">
        <v>217</v>
      </c>
      <c r="B44" s="4" t="n">
        <v>0</v>
      </c>
      <c r="C44" s="5" t="s">
        <v>197</v>
      </c>
      <c r="D44" s="4" t="s">
        <v>205</v>
      </c>
      <c r="E44" s="5" t="s">
        <v>206</v>
      </c>
      <c r="F44" s="4" t="s">
        <v>48</v>
      </c>
      <c r="G44" s="4" t="s">
        <v>218</v>
      </c>
      <c r="H44" s="6"/>
      <c r="I44" s="7"/>
      <c r="J44" s="8" t="n">
        <f aca="false">'Project Rules'!$B$5</f>
        <v>2.14</v>
      </c>
      <c r="K44" s="8" t="n">
        <f aca="false">'Project Rules'!$B$6</f>
        <v>1</v>
      </c>
      <c r="L44" s="9" t="str">
        <f aca="false">IF(OR(H44="",I44=""),"",H44-7*I44)</f>
        <v/>
      </c>
      <c r="M44" s="9" t="str">
        <f aca="false">IF(OR(H44="",I44=""),"",H44-7*(I44+J44+K44))</f>
        <v/>
      </c>
      <c r="N44" s="6"/>
      <c r="O44" s="6"/>
      <c r="P44" s="7" t="s">
        <v>28</v>
      </c>
      <c r="Q44" s="10" t="str">
        <f aca="true">IF(OR(M44="",P44="Approved",P44="Approved as Noted"),"",M44-TODAY())</f>
        <v/>
      </c>
      <c r="R44" s="4" t="s">
        <v>62</v>
      </c>
      <c r="S44" s="11"/>
      <c r="T44" s="4" t="s">
        <v>199</v>
      </c>
    </row>
    <row r="45" customFormat="false" ht="15" hidden="false" customHeight="false" outlineLevel="0" collapsed="false">
      <c r="A45" s="4" t="s">
        <v>219</v>
      </c>
      <c r="B45" s="4" t="n">
        <v>0</v>
      </c>
      <c r="C45" s="5" t="s">
        <v>201</v>
      </c>
      <c r="D45" s="4" t="s">
        <v>205</v>
      </c>
      <c r="E45" s="5" t="s">
        <v>206</v>
      </c>
      <c r="F45" s="4" t="s">
        <v>34</v>
      </c>
      <c r="G45" s="4" t="s">
        <v>220</v>
      </c>
      <c r="H45" s="6"/>
      <c r="I45" s="7"/>
      <c r="J45" s="8" t="n">
        <f aca="false">'Project Rules'!$B$5</f>
        <v>2.14</v>
      </c>
      <c r="K45" s="8" t="n">
        <f aca="false">'Project Rules'!$B$6</f>
        <v>1</v>
      </c>
      <c r="L45" s="9" t="str">
        <f aca="false">IF(OR(H45="",I45=""),"",H45-7*I45)</f>
        <v/>
      </c>
      <c r="M45" s="9" t="str">
        <f aca="false">IF(OR(H45="",I45=""),"",H45-7*(I45+J45+K45))</f>
        <v/>
      </c>
      <c r="N45" s="6"/>
      <c r="O45" s="6"/>
      <c r="P45" s="7" t="s">
        <v>28</v>
      </c>
      <c r="Q45" s="10" t="str">
        <f aca="true">IF(OR(M45="",P45="Approved",P45="Approved as Noted"),"",M45-TODAY())</f>
        <v/>
      </c>
      <c r="R45" s="4" t="s">
        <v>62</v>
      </c>
      <c r="S45" s="11"/>
      <c r="T45" s="4" t="s">
        <v>203</v>
      </c>
    </row>
    <row r="46" customFormat="false" ht="23.85" hidden="false" customHeight="false" outlineLevel="0" collapsed="false">
      <c r="A46" s="4" t="s">
        <v>221</v>
      </c>
      <c r="B46" s="4" t="n">
        <v>0</v>
      </c>
      <c r="C46" s="5" t="s">
        <v>222</v>
      </c>
      <c r="D46" s="4" t="s">
        <v>223</v>
      </c>
      <c r="E46" s="5" t="s">
        <v>224</v>
      </c>
      <c r="F46" s="4" t="s">
        <v>100</v>
      </c>
      <c r="G46" s="4" t="s">
        <v>225</v>
      </c>
      <c r="H46" s="6"/>
      <c r="I46" s="7"/>
      <c r="J46" s="8" t="n">
        <f aca="false">'Project Rules'!$B$5</f>
        <v>2.14</v>
      </c>
      <c r="K46" s="8" t="n">
        <f aca="false">'Project Rules'!$B$6</f>
        <v>1</v>
      </c>
      <c r="L46" s="9" t="str">
        <f aca="false">IF(OR(H46="",I46=""),"",H46-7*I46)</f>
        <v/>
      </c>
      <c r="M46" s="9" t="str">
        <f aca="false">IF(OR(H46="",I46=""),"",H46-7*(I46+J46+K46))</f>
        <v/>
      </c>
      <c r="N46" s="6"/>
      <c r="O46" s="6"/>
      <c r="P46" s="7" t="s">
        <v>28</v>
      </c>
      <c r="Q46" s="10" t="str">
        <f aca="true">IF(OR(M46="",P46="Approved",P46="Approved as Noted"),"",M46-TODAY())</f>
        <v/>
      </c>
      <c r="R46" s="4" t="s">
        <v>62</v>
      </c>
      <c r="S46" s="11"/>
      <c r="T46" s="4" t="s">
        <v>226</v>
      </c>
    </row>
    <row r="47" customFormat="false" ht="23.85" hidden="false" customHeight="false" outlineLevel="0" collapsed="false">
      <c r="A47" s="4" t="s">
        <v>227</v>
      </c>
      <c r="B47" s="4" t="n">
        <v>0</v>
      </c>
      <c r="C47" s="5" t="s">
        <v>228</v>
      </c>
      <c r="D47" s="4" t="s">
        <v>223</v>
      </c>
      <c r="E47" s="5" t="s">
        <v>224</v>
      </c>
      <c r="F47" s="4" t="s">
        <v>90</v>
      </c>
      <c r="G47" s="4" t="s">
        <v>229</v>
      </c>
      <c r="H47" s="6"/>
      <c r="I47" s="7"/>
      <c r="J47" s="8" t="n">
        <f aca="false">'Project Rules'!$B$5</f>
        <v>2.14</v>
      </c>
      <c r="K47" s="8" t="n">
        <f aca="false">'Project Rules'!$B$6</f>
        <v>1</v>
      </c>
      <c r="L47" s="9" t="str">
        <f aca="false">IF(OR(H47="",I47=""),"",H47-7*I47)</f>
        <v/>
      </c>
      <c r="M47" s="9" t="str">
        <f aca="false">IF(OR(H47="",I47=""),"",H47-7*(I47+J47+K47))</f>
        <v/>
      </c>
      <c r="N47" s="6"/>
      <c r="O47" s="6"/>
      <c r="P47" s="7" t="s">
        <v>28</v>
      </c>
      <c r="Q47" s="10" t="str">
        <f aca="true">IF(OR(M47="",P47="Approved",P47="Approved as Noted"),"",M47-TODAY())</f>
        <v/>
      </c>
      <c r="R47" s="4" t="s">
        <v>62</v>
      </c>
      <c r="S47" s="11"/>
      <c r="T47" s="4" t="s">
        <v>230</v>
      </c>
    </row>
    <row r="48" customFormat="false" ht="15" hidden="false" customHeight="false" outlineLevel="0" collapsed="false">
      <c r="A48" s="4" t="s">
        <v>231</v>
      </c>
      <c r="B48" s="4" t="n">
        <v>0</v>
      </c>
      <c r="C48" s="5" t="s">
        <v>232</v>
      </c>
      <c r="D48" s="4" t="s">
        <v>233</v>
      </c>
      <c r="E48" s="5" t="s">
        <v>234</v>
      </c>
      <c r="F48" s="4" t="s">
        <v>90</v>
      </c>
      <c r="G48" s="4" t="s">
        <v>235</v>
      </c>
      <c r="H48" s="6"/>
      <c r="I48" s="7"/>
      <c r="J48" s="8" t="n">
        <f aca="false">'Project Rules'!$B$5</f>
        <v>2.14</v>
      </c>
      <c r="K48" s="8" t="n">
        <f aca="false">'Project Rules'!$B$6</f>
        <v>1</v>
      </c>
      <c r="L48" s="9" t="str">
        <f aca="false">IF(OR(H48="",I48=""),"",H48-7*I48)</f>
        <v/>
      </c>
      <c r="M48" s="9" t="str">
        <f aca="false">IF(OR(H48="",I48=""),"",H48-7*(I48+J48+K48))</f>
        <v/>
      </c>
      <c r="N48" s="6"/>
      <c r="O48" s="6"/>
      <c r="P48" s="7" t="s">
        <v>28</v>
      </c>
      <c r="Q48" s="10" t="str">
        <f aca="true">IF(OR(M48="",P48="Approved",P48="Approved as Noted"),"",M48-TODAY())</f>
        <v/>
      </c>
      <c r="R48" s="4" t="s">
        <v>62</v>
      </c>
      <c r="S48" s="11"/>
      <c r="T48" s="4" t="s">
        <v>236</v>
      </c>
    </row>
    <row r="49" customFormat="false" ht="15" hidden="false" customHeight="false" outlineLevel="0" collapsed="false">
      <c r="A49" s="4" t="s">
        <v>237</v>
      </c>
      <c r="B49" s="4" t="n">
        <v>0</v>
      </c>
      <c r="C49" s="5" t="s">
        <v>238</v>
      </c>
      <c r="D49" s="4" t="s">
        <v>239</v>
      </c>
      <c r="E49" s="5" t="s">
        <v>240</v>
      </c>
      <c r="F49" s="4" t="s">
        <v>100</v>
      </c>
      <c r="G49" s="4" t="s">
        <v>241</v>
      </c>
      <c r="H49" s="6"/>
      <c r="I49" s="7"/>
      <c r="J49" s="8" t="n">
        <f aca="false">'Project Rules'!$B$5</f>
        <v>2.14</v>
      </c>
      <c r="K49" s="8" t="n">
        <f aca="false">'Project Rules'!$B$6</f>
        <v>1</v>
      </c>
      <c r="L49" s="9" t="str">
        <f aca="false">IF(OR(H49="",I49=""),"",H49-7*I49)</f>
        <v/>
      </c>
      <c r="M49" s="9" t="str">
        <f aca="false">IF(OR(H49="",I49=""),"",H49-7*(I49+J49+K49))</f>
        <v/>
      </c>
      <c r="N49" s="6"/>
      <c r="O49" s="6"/>
      <c r="P49" s="7" t="s">
        <v>28</v>
      </c>
      <c r="Q49" s="10" t="str">
        <f aca="true">IF(OR(M49="",P49="Approved",P49="Approved as Noted"),"",M49-TODAY())</f>
        <v/>
      </c>
      <c r="R49" s="4" t="s">
        <v>62</v>
      </c>
      <c r="S49" s="11"/>
      <c r="T49" s="4" t="s">
        <v>226</v>
      </c>
    </row>
    <row r="50" customFormat="false" ht="15" hidden="false" customHeight="false" outlineLevel="0" collapsed="false">
      <c r="A50" s="4" t="s">
        <v>242</v>
      </c>
      <c r="B50" s="4" t="n">
        <v>0</v>
      </c>
      <c r="C50" s="5" t="s">
        <v>243</v>
      </c>
      <c r="D50" s="4" t="s">
        <v>244</v>
      </c>
      <c r="E50" s="5" t="s">
        <v>245</v>
      </c>
      <c r="F50" s="4" t="s">
        <v>100</v>
      </c>
      <c r="G50" s="4" t="s">
        <v>246</v>
      </c>
      <c r="H50" s="6"/>
      <c r="I50" s="7"/>
      <c r="J50" s="8" t="n">
        <f aca="false">'Project Rules'!$B$5</f>
        <v>2.14</v>
      </c>
      <c r="K50" s="8" t="n">
        <f aca="false">'Project Rules'!$B$6</f>
        <v>1</v>
      </c>
      <c r="L50" s="9" t="str">
        <f aca="false">IF(OR(H50="",I50=""),"",H50-7*I50)</f>
        <v/>
      </c>
      <c r="M50" s="9" t="str">
        <f aca="false">IF(OR(H50="",I50=""),"",H50-7*(I50+J50+K50))</f>
        <v/>
      </c>
      <c r="N50" s="6"/>
      <c r="O50" s="6"/>
      <c r="P50" s="7" t="s">
        <v>28</v>
      </c>
      <c r="Q50" s="10" t="str">
        <f aca="true">IF(OR(M50="",P50="Approved",P50="Approved as Noted"),"",M50-TODAY())</f>
        <v/>
      </c>
      <c r="R50" s="4" t="s">
        <v>62</v>
      </c>
      <c r="S50" s="11"/>
      <c r="T50" s="4" t="s">
        <v>226</v>
      </c>
    </row>
    <row r="51" customFormat="false" ht="23.85" hidden="false" customHeight="false" outlineLevel="0" collapsed="false">
      <c r="A51" s="4" t="s">
        <v>247</v>
      </c>
      <c r="B51" s="4" t="n">
        <v>0</v>
      </c>
      <c r="C51" s="5" t="s">
        <v>248</v>
      </c>
      <c r="D51" s="4" t="s">
        <v>244</v>
      </c>
      <c r="E51" s="5" t="s">
        <v>245</v>
      </c>
      <c r="F51" s="4" t="s">
        <v>100</v>
      </c>
      <c r="G51" s="4" t="s">
        <v>249</v>
      </c>
      <c r="H51" s="6"/>
      <c r="I51" s="7"/>
      <c r="J51" s="8" t="n">
        <f aca="false">'Project Rules'!$B$5</f>
        <v>2.14</v>
      </c>
      <c r="K51" s="8" t="n">
        <f aca="false">'Project Rules'!$B$6</f>
        <v>1</v>
      </c>
      <c r="L51" s="9" t="str">
        <f aca="false">IF(OR(H51="",I51=""),"",H51-7*I51)</f>
        <v/>
      </c>
      <c r="M51" s="9" t="str">
        <f aca="false">IF(OR(H51="",I51=""),"",H51-7*(I51+J51+K51))</f>
        <v/>
      </c>
      <c r="N51" s="6"/>
      <c r="O51" s="6"/>
      <c r="P51" s="7" t="s">
        <v>28</v>
      </c>
      <c r="Q51" s="10" t="str">
        <f aca="true">IF(OR(M51="",P51="Approved",P51="Approved as Noted"),"",M51-TODAY())</f>
        <v/>
      </c>
      <c r="R51" s="4" t="s">
        <v>163</v>
      </c>
      <c r="S51" s="11"/>
      <c r="T51" s="4" t="s">
        <v>250</v>
      </c>
    </row>
    <row r="52" customFormat="false" ht="15" hidden="false" customHeight="false" outlineLevel="0" collapsed="false">
      <c r="A52" s="4" t="s">
        <v>251</v>
      </c>
      <c r="B52" s="4" t="n">
        <v>0</v>
      </c>
      <c r="C52" s="5" t="s">
        <v>252</v>
      </c>
      <c r="D52" s="4" t="s">
        <v>244</v>
      </c>
      <c r="E52" s="5" t="s">
        <v>245</v>
      </c>
      <c r="F52" s="4" t="s">
        <v>48</v>
      </c>
      <c r="G52" s="4" t="s">
        <v>253</v>
      </c>
      <c r="H52" s="6"/>
      <c r="I52" s="7"/>
      <c r="J52" s="8" t="n">
        <f aca="false">'Project Rules'!$B$5</f>
        <v>2.14</v>
      </c>
      <c r="K52" s="8" t="n">
        <f aca="false">'Project Rules'!$B$6</f>
        <v>1</v>
      </c>
      <c r="L52" s="9" t="str">
        <f aca="false">IF(OR(H52="",I52=""),"",H52-7*I52)</f>
        <v/>
      </c>
      <c r="M52" s="9" t="str">
        <f aca="false">IF(OR(H52="",I52=""),"",H52-7*(I52+J52+K52))</f>
        <v/>
      </c>
      <c r="N52" s="6"/>
      <c r="O52" s="6"/>
      <c r="P52" s="7" t="s">
        <v>28</v>
      </c>
      <c r="Q52" s="10" t="str">
        <f aca="true">IF(OR(M52="",P52="Approved",P52="Approved as Noted"),"",M52-TODAY())</f>
        <v/>
      </c>
      <c r="R52" s="4" t="s">
        <v>62</v>
      </c>
      <c r="S52" s="11"/>
      <c r="T52" s="4" t="s">
        <v>254</v>
      </c>
    </row>
    <row r="53" customFormat="false" ht="15" hidden="false" customHeight="false" outlineLevel="0" collapsed="false">
      <c r="A53" s="4" t="s">
        <v>255</v>
      </c>
      <c r="B53" s="4" t="n">
        <v>0</v>
      </c>
      <c r="C53" s="5" t="s">
        <v>256</v>
      </c>
      <c r="D53" s="4" t="s">
        <v>257</v>
      </c>
      <c r="E53" s="5" t="s">
        <v>258</v>
      </c>
      <c r="F53" s="4" t="s">
        <v>100</v>
      </c>
      <c r="G53" s="4" t="s">
        <v>259</v>
      </c>
      <c r="H53" s="6"/>
      <c r="I53" s="7"/>
      <c r="J53" s="8" t="n">
        <f aca="false">'Project Rules'!$B$5</f>
        <v>2.14</v>
      </c>
      <c r="K53" s="8" t="n">
        <f aca="false">'Project Rules'!$B$6</f>
        <v>1</v>
      </c>
      <c r="L53" s="9" t="str">
        <f aca="false">IF(OR(H53="",I53=""),"",H53-7*I53)</f>
        <v/>
      </c>
      <c r="M53" s="9" t="str">
        <f aca="false">IF(OR(H53="",I53=""),"",H53-7*(I53+J53+K53))</f>
        <v/>
      </c>
      <c r="N53" s="6"/>
      <c r="O53" s="6"/>
      <c r="P53" s="7" t="s">
        <v>28</v>
      </c>
      <c r="Q53" s="10" t="str">
        <f aca="true">IF(OR(M53="",P53="Approved",P53="Approved as Noted"),"",M53-TODAY())</f>
        <v/>
      </c>
      <c r="R53" s="4" t="s">
        <v>62</v>
      </c>
      <c r="S53" s="11"/>
      <c r="T53" s="4" t="s">
        <v>260</v>
      </c>
    </row>
    <row r="54" customFormat="false" ht="23.85" hidden="false" customHeight="false" outlineLevel="0" collapsed="false">
      <c r="A54" s="4" t="s">
        <v>261</v>
      </c>
      <c r="B54" s="4" t="n">
        <v>0</v>
      </c>
      <c r="C54" s="5" t="s">
        <v>262</v>
      </c>
      <c r="D54" s="4" t="s">
        <v>257</v>
      </c>
      <c r="E54" s="5" t="s">
        <v>258</v>
      </c>
      <c r="F54" s="4" t="s">
        <v>60</v>
      </c>
      <c r="G54" s="4" t="s">
        <v>263</v>
      </c>
      <c r="H54" s="6"/>
      <c r="I54" s="7"/>
      <c r="J54" s="8" t="n">
        <f aca="false">'Project Rules'!$B$5</f>
        <v>2.14</v>
      </c>
      <c r="K54" s="8" t="n">
        <f aca="false">'Project Rules'!$B$6</f>
        <v>1</v>
      </c>
      <c r="L54" s="9" t="str">
        <f aca="false">IF(OR(H54="",I54=""),"",H54-7*I54)</f>
        <v/>
      </c>
      <c r="M54" s="9" t="str">
        <f aca="false">IF(OR(H54="",I54=""),"",H54-7*(I54+J54+K54))</f>
        <v/>
      </c>
      <c r="N54" s="6"/>
      <c r="O54" s="6"/>
      <c r="P54" s="7" t="s">
        <v>28</v>
      </c>
      <c r="Q54" s="10" t="str">
        <f aca="true">IF(OR(M54="",P54="Approved",P54="Approved as Noted"),"",M54-TODAY())</f>
        <v/>
      </c>
      <c r="R54" s="4" t="s">
        <v>62</v>
      </c>
      <c r="S54" s="11"/>
      <c r="T54" s="4" t="s">
        <v>264</v>
      </c>
    </row>
    <row r="55" customFormat="false" ht="15" hidden="false" customHeight="false" outlineLevel="0" collapsed="false">
      <c r="A55" s="4" t="s">
        <v>265</v>
      </c>
      <c r="B55" s="4" t="n">
        <v>0</v>
      </c>
      <c r="C55" s="5" t="s">
        <v>266</v>
      </c>
      <c r="D55" s="4" t="s">
        <v>257</v>
      </c>
      <c r="E55" s="5" t="s">
        <v>258</v>
      </c>
      <c r="F55" s="4" t="s">
        <v>90</v>
      </c>
      <c r="G55" s="4" t="s">
        <v>267</v>
      </c>
      <c r="H55" s="6"/>
      <c r="I55" s="7"/>
      <c r="J55" s="8" t="n">
        <f aca="false">'Project Rules'!$B$5</f>
        <v>2.14</v>
      </c>
      <c r="K55" s="8" t="n">
        <f aca="false">'Project Rules'!$B$6</f>
        <v>1</v>
      </c>
      <c r="L55" s="9" t="str">
        <f aca="false">IF(OR(H55="",I55=""),"",H55-7*I55)</f>
        <v/>
      </c>
      <c r="M55" s="9" t="str">
        <f aca="false">IF(OR(H55="",I55=""),"",H55-7*(I55+J55+K55))</f>
        <v/>
      </c>
      <c r="N55" s="6"/>
      <c r="O55" s="6"/>
      <c r="P55" s="7" t="s">
        <v>28</v>
      </c>
      <c r="Q55" s="10" t="str">
        <f aca="true">IF(OR(M55="",P55="Approved",P55="Approved as Noted"),"",M55-TODAY())</f>
        <v/>
      </c>
      <c r="R55" s="4" t="s">
        <v>62</v>
      </c>
      <c r="S55" s="11"/>
      <c r="T55" s="4" t="s">
        <v>268</v>
      </c>
    </row>
  </sheetData>
  <autoFilter ref="A4:T55"/>
  <conditionalFormatting sqref="P5:P55">
    <cfRule type="expression" priority="2" aboveAverage="0" equalAverage="0" bottom="0" percent="0" rank="0" text="" dxfId="7">
      <formula>OR(P5="Approved",P5="Approved as Noted")</formula>
    </cfRule>
    <cfRule type="expression" priority="3" aboveAverage="0" equalAverage="0" bottom="0" percent="0" rank="0" text="" dxfId="8">
      <formula>OR(P5="Revise/Resubmit",P5="Rejected")</formula>
    </cfRule>
    <cfRule type="expression" priority="4" aboveAverage="0" equalAverage="0" bottom="0" percent="0" rank="0" text="" dxfId="9">
      <formula>P5="Submitted"</formula>
    </cfRule>
  </conditionalFormatting>
  <conditionalFormatting sqref="Q5:Q55">
    <cfRule type="cellIs" priority="5" operator="lessThan" aboveAverage="0" equalAverage="0" bottom="0" percent="0" rank="0" text="" dxfId="8">
      <formula>0</formula>
    </cfRule>
  </conditionalFormatting>
  <dataValidations count="1">
    <dataValidation allowBlank="false" error="Pick a status from the list." errorStyle="stop" errorTitle="Status" operator="between" showDropDown="false" showErrorMessage="false" showInputMessage="false" sqref="P5:P55" type="list">
      <formula1>"Not Started,In Prep,Submitted,Approved,Approved as Noted,Revise/Resubmit,Rejected"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0"/>
  </cols>
  <sheetData>
    <row r="1" customFormat="false" ht="17.35" hidden="false" customHeight="false" outlineLevel="0" collapsed="false">
      <c r="A1" s="1" t="s">
        <v>269</v>
      </c>
    </row>
    <row r="2" customFormat="false" ht="15" hidden="false" customHeight="false" outlineLevel="0" collapsed="false">
      <c r="A2" s="2" t="s">
        <v>270</v>
      </c>
    </row>
    <row r="4" customFormat="false" ht="15" hidden="false" customHeight="false" outlineLevel="0" collapsed="false">
      <c r="A4" s="14" t="s">
        <v>271</v>
      </c>
      <c r="B4" s="11" t="s">
        <v>272</v>
      </c>
    </row>
    <row r="5" customFormat="false" ht="15" hidden="false" customHeight="false" outlineLevel="0" collapsed="false">
      <c r="A5" s="14" t="s">
        <v>273</v>
      </c>
      <c r="B5" s="15" t="n">
        <v>2.14</v>
      </c>
    </row>
    <row r="6" customFormat="false" ht="15" hidden="false" customHeight="false" outlineLevel="0" collapsed="false">
      <c r="A6" s="14" t="s">
        <v>274</v>
      </c>
      <c r="B6" s="15" t="n">
        <v>1</v>
      </c>
    </row>
    <row r="7" customFormat="false" ht="23.85" hidden="false" customHeight="false" outlineLevel="0" collapsed="false">
      <c r="A7" s="14" t="s">
        <v>275</v>
      </c>
      <c r="B7" s="11" t="s">
        <v>276</v>
      </c>
    </row>
    <row r="8" customFormat="false" ht="23.85" hidden="false" customHeight="false" outlineLevel="0" collapsed="false">
      <c r="A8" s="14" t="s">
        <v>277</v>
      </c>
      <c r="B8" s="11" t="s">
        <v>278</v>
      </c>
    </row>
    <row r="9" customFormat="false" ht="15" hidden="false" customHeight="false" outlineLevel="0" collapsed="false">
      <c r="A9" s="14" t="s">
        <v>279</v>
      </c>
      <c r="B9" s="11" t="s">
        <v>280</v>
      </c>
    </row>
    <row r="11" customFormat="false" ht="15" hidden="false" customHeight="false" outlineLevel="0" collapsed="false">
      <c r="A11" s="14" t="s">
        <v>281</v>
      </c>
    </row>
    <row r="12" customFormat="false" ht="23.85" hidden="false" customHeight="false" outlineLevel="0" collapsed="false">
      <c r="A12" s="16" t="s">
        <v>282</v>
      </c>
      <c r="B12" s="17" t="s">
        <v>283</v>
      </c>
    </row>
    <row r="13" customFormat="false" ht="15" hidden="false" customHeight="false" outlineLevel="0" collapsed="false">
      <c r="A13" s="16" t="s">
        <v>284</v>
      </c>
      <c r="B13" s="17" t="s">
        <v>285</v>
      </c>
    </row>
    <row r="14" customFormat="false" ht="15" hidden="false" customHeight="false" outlineLevel="0" collapsed="false">
      <c r="A14" s="16" t="s">
        <v>286</v>
      </c>
      <c r="B14" s="17" t="s">
        <v>287</v>
      </c>
    </row>
    <row r="15" customFormat="false" ht="15" hidden="false" customHeight="false" outlineLevel="0" collapsed="false">
      <c r="A15" s="16" t="s">
        <v>288</v>
      </c>
      <c r="B15" s="17" t="s">
        <v>289</v>
      </c>
    </row>
    <row r="16" customFormat="false" ht="15" hidden="false" customHeight="false" outlineLevel="0" collapsed="false">
      <c r="A16" s="16" t="s">
        <v>290</v>
      </c>
      <c r="B16" s="17" t="s">
        <v>291</v>
      </c>
    </row>
    <row r="17" customFormat="false" ht="15" hidden="false" customHeight="false" outlineLevel="0" collapsed="false">
      <c r="A17" s="16" t="s">
        <v>292</v>
      </c>
      <c r="B17" s="17" t="s">
        <v>293</v>
      </c>
    </row>
    <row r="18" customFormat="false" ht="15" hidden="false" customHeight="false" outlineLevel="0" collapsed="false">
      <c r="A18" s="16" t="s">
        <v>294</v>
      </c>
      <c r="B18" s="17" t="s">
        <v>295</v>
      </c>
    </row>
    <row r="19" customFormat="false" ht="15" hidden="false" customHeight="false" outlineLevel="0" collapsed="false">
      <c r="A19" s="16" t="s">
        <v>296</v>
      </c>
      <c r="B19" s="17" t="s">
        <v>297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26"/>
    <col collapsed="false" customWidth="true" hidden="false" outlineLevel="0" max="4" min="4" style="0" width="14"/>
    <col collapsed="false" customWidth="true" hidden="false" outlineLevel="0" max="5" min="5" style="0" width="10"/>
    <col collapsed="false" customWidth="true" hidden="false" outlineLevel="0" max="6" min="6" style="0" width="40"/>
    <col collapsed="false" customWidth="true" hidden="false" outlineLevel="0" max="7" min="7" style="0" width="90"/>
    <col collapsed="false" customWidth="true" hidden="false" outlineLevel="0" max="8" min="8" style="0" width="18"/>
  </cols>
  <sheetData>
    <row r="1" customFormat="false" ht="17.35" hidden="false" customHeight="false" outlineLevel="0" collapsed="false">
      <c r="A1" s="1" t="s">
        <v>298</v>
      </c>
    </row>
    <row r="2" customFormat="false" ht="15" hidden="false" customHeight="false" outlineLevel="0" collapsed="false">
      <c r="A2" s="2" t="s">
        <v>299</v>
      </c>
    </row>
    <row r="4" customFormat="false" ht="15" hidden="false" customHeight="false" outlineLevel="0" collapsed="false">
      <c r="A4" s="3" t="s">
        <v>2</v>
      </c>
      <c r="B4" s="3" t="s">
        <v>5</v>
      </c>
      <c r="C4" s="3" t="s">
        <v>6</v>
      </c>
      <c r="D4" s="3" t="s">
        <v>8</v>
      </c>
      <c r="E4" s="3" t="s">
        <v>7</v>
      </c>
      <c r="F4" s="3" t="s">
        <v>300</v>
      </c>
      <c r="G4" s="3" t="s">
        <v>301</v>
      </c>
      <c r="H4" s="3" t="s">
        <v>302</v>
      </c>
    </row>
    <row r="5" customFormat="false" ht="35.05" hidden="false" customHeight="false" outlineLevel="0" collapsed="false">
      <c r="A5" s="4" t="s">
        <v>80</v>
      </c>
      <c r="B5" s="4" t="s">
        <v>82</v>
      </c>
      <c r="C5" s="5" t="s">
        <v>83</v>
      </c>
      <c r="D5" s="4" t="s">
        <v>85</v>
      </c>
      <c r="E5" s="4" t="s">
        <v>84</v>
      </c>
      <c r="F5" s="5" t="s">
        <v>303</v>
      </c>
      <c r="G5" s="5" t="s">
        <v>87</v>
      </c>
      <c r="H5" s="7"/>
    </row>
    <row r="6" customFormat="false" ht="35.05" hidden="false" customHeight="false" outlineLevel="0" collapsed="false">
      <c r="A6" s="4" t="s">
        <v>93</v>
      </c>
      <c r="B6" s="4" t="s">
        <v>82</v>
      </c>
      <c r="C6" s="5" t="s">
        <v>83</v>
      </c>
      <c r="D6" s="4" t="s">
        <v>95</v>
      </c>
      <c r="E6" s="4" t="s">
        <v>90</v>
      </c>
      <c r="F6" s="5" t="s">
        <v>96</v>
      </c>
      <c r="G6" s="5" t="s">
        <v>97</v>
      </c>
      <c r="H6" s="7"/>
    </row>
    <row r="7" customFormat="false" ht="35.05" hidden="false" customHeight="false" outlineLevel="0" collapsed="false">
      <c r="A7" s="4" t="s">
        <v>115</v>
      </c>
      <c r="B7" s="4" t="s">
        <v>111</v>
      </c>
      <c r="C7" s="5" t="s">
        <v>112</v>
      </c>
      <c r="D7" s="4" t="s">
        <v>117</v>
      </c>
      <c r="E7" s="4" t="s">
        <v>90</v>
      </c>
      <c r="F7" s="5" t="s">
        <v>118</v>
      </c>
      <c r="G7" s="5" t="s">
        <v>119</v>
      </c>
      <c r="H7" s="7"/>
    </row>
    <row r="8" customFormat="false" ht="35.05" hidden="false" customHeight="false" outlineLevel="0" collapsed="false">
      <c r="A8" s="4" t="s">
        <v>120</v>
      </c>
      <c r="B8" s="4" t="s">
        <v>111</v>
      </c>
      <c r="C8" s="5" t="s">
        <v>112</v>
      </c>
      <c r="D8" s="4" t="s">
        <v>123</v>
      </c>
      <c r="E8" s="4" t="s">
        <v>122</v>
      </c>
      <c r="F8" s="5" t="s">
        <v>124</v>
      </c>
      <c r="G8" s="5" t="s">
        <v>125</v>
      </c>
      <c r="H8"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4"/>
    <col collapsed="false" customWidth="true" hidden="false" outlineLevel="0" max="4" min="3" style="0" width="12"/>
    <col collapsed="false" customWidth="true" hidden="false" outlineLevel="0" max="5" min="5" style="0" width="10"/>
  </cols>
  <sheetData>
    <row r="1" customFormat="false" ht="17.35" hidden="false" customHeight="false" outlineLevel="0" collapsed="false">
      <c r="A1" s="1" t="s">
        <v>304</v>
      </c>
    </row>
    <row r="3" customFormat="false" ht="15" hidden="false" customHeight="false" outlineLevel="0" collapsed="false">
      <c r="A3" s="3" t="s">
        <v>5</v>
      </c>
      <c r="B3" s="3" t="s">
        <v>6</v>
      </c>
      <c r="C3" s="3" t="s">
        <v>305</v>
      </c>
      <c r="D3" s="3" t="s">
        <v>306</v>
      </c>
      <c r="E3" s="3" t="s">
        <v>307</v>
      </c>
    </row>
    <row r="4" customFormat="false" ht="15" hidden="false" customHeight="false" outlineLevel="0" collapsed="false">
      <c r="A4" s="18" t="s">
        <v>24</v>
      </c>
      <c r="B4" s="18" t="s">
        <v>25</v>
      </c>
      <c r="C4" s="18" t="n">
        <f aca="false">COUNTIF(Register!$D$5:$D$55,A4)</f>
        <v>6</v>
      </c>
      <c r="D4" s="18" t="n">
        <f aca="false">COUNTIFS(Register!$D$5:$D$55,A4,Register!$P$5:$P$55,"Approved")+COUNTIFS(Register!$D$5:$D$55,A4,Register!$P$5:$P$55,"Approved as Noted")</f>
        <v>0</v>
      </c>
      <c r="E4" s="18" t="n">
        <f aca="false">C4-D4</f>
        <v>6</v>
      </c>
    </row>
    <row r="5" customFormat="false" ht="15" hidden="false" customHeight="false" outlineLevel="0" collapsed="false">
      <c r="A5" s="18" t="s">
        <v>58</v>
      </c>
      <c r="B5" s="18" t="s">
        <v>59</v>
      </c>
      <c r="C5" s="18" t="n">
        <f aca="false">COUNTIF(Register!$D$5:$D$55,A5)</f>
        <v>1</v>
      </c>
      <c r="D5" s="18" t="n">
        <f aca="false">COUNTIFS(Register!$D$5:$D$55,A5,Register!$P$5:$P$55,"Approved")+COUNTIFS(Register!$D$5:$D$55,A5,Register!$P$5:$P$55,"Approved as Noted")</f>
        <v>0</v>
      </c>
      <c r="E5" s="18" t="n">
        <f aca="false">C5-D5</f>
        <v>1</v>
      </c>
    </row>
    <row r="6" customFormat="false" ht="15" hidden="false" customHeight="false" outlineLevel="0" collapsed="false">
      <c r="A6" s="18" t="s">
        <v>66</v>
      </c>
      <c r="B6" s="18" t="s">
        <v>67</v>
      </c>
      <c r="C6" s="18" t="n">
        <f aca="false">COUNTIF(Register!$D$5:$D$55,A6)</f>
        <v>3</v>
      </c>
      <c r="D6" s="18" t="n">
        <f aca="false">COUNTIFS(Register!$D$5:$D$55,A6,Register!$P$5:$P$55,"Approved")+COUNTIFS(Register!$D$5:$D$55,A6,Register!$P$5:$P$55,"Approved as Noted")</f>
        <v>0</v>
      </c>
      <c r="E6" s="18" t="n">
        <f aca="false">C6-D6</f>
        <v>3</v>
      </c>
    </row>
    <row r="7" customFormat="false" ht="15" hidden="false" customHeight="false" outlineLevel="0" collapsed="false">
      <c r="A7" s="18" t="s">
        <v>82</v>
      </c>
      <c r="B7" s="18" t="s">
        <v>83</v>
      </c>
      <c r="C7" s="18" t="n">
        <f aca="false">COUNTIF(Register!$D$5:$D$55,A7)</f>
        <v>4</v>
      </c>
      <c r="D7" s="18" t="n">
        <f aca="false">COUNTIFS(Register!$D$5:$D$55,A7,Register!$P$5:$P$55,"Approved")+COUNTIFS(Register!$D$5:$D$55,A7,Register!$P$5:$P$55,"Approved as Noted")</f>
        <v>0</v>
      </c>
      <c r="E7" s="18" t="n">
        <f aca="false">C7-D7</f>
        <v>4</v>
      </c>
    </row>
    <row r="8" customFormat="false" ht="15" hidden="false" customHeight="false" outlineLevel="0" collapsed="false">
      <c r="A8" s="18" t="s">
        <v>105</v>
      </c>
      <c r="B8" s="18" t="s">
        <v>106</v>
      </c>
      <c r="C8" s="18" t="n">
        <f aca="false">COUNTIF(Register!$D$5:$D$55,A8)</f>
        <v>1</v>
      </c>
      <c r="D8" s="18" t="n">
        <f aca="false">COUNTIFS(Register!$D$5:$D$55,A8,Register!$P$5:$P$55,"Approved")+COUNTIFS(Register!$D$5:$D$55,A8,Register!$P$5:$P$55,"Approved as Noted")</f>
        <v>0</v>
      </c>
      <c r="E8" s="18" t="n">
        <f aca="false">C8-D8</f>
        <v>1</v>
      </c>
    </row>
    <row r="9" customFormat="false" ht="15" hidden="false" customHeight="false" outlineLevel="0" collapsed="false">
      <c r="A9" s="18" t="s">
        <v>111</v>
      </c>
      <c r="B9" s="18" t="s">
        <v>112</v>
      </c>
      <c r="C9" s="18" t="n">
        <f aca="false">COUNTIF(Register!$D$5:$D$55,A9)</f>
        <v>6</v>
      </c>
      <c r="D9" s="18" t="n">
        <f aca="false">COUNTIFS(Register!$D$5:$D$55,A9,Register!$P$5:$P$55,"Approved")+COUNTIFS(Register!$D$5:$D$55,A9,Register!$P$5:$P$55,"Approved as Noted")</f>
        <v>0</v>
      </c>
      <c r="E9" s="18" t="n">
        <f aca="false">C9-D9</f>
        <v>6</v>
      </c>
    </row>
    <row r="10" customFormat="false" ht="15" hidden="false" customHeight="false" outlineLevel="0" collapsed="false">
      <c r="A10" s="18" t="s">
        <v>141</v>
      </c>
      <c r="B10" s="18" t="s">
        <v>142</v>
      </c>
      <c r="C10" s="18" t="n">
        <f aca="false">COUNTIF(Register!$D$5:$D$55,A10)</f>
        <v>4</v>
      </c>
      <c r="D10" s="18" t="n">
        <f aca="false">COUNTIFS(Register!$D$5:$D$55,A10,Register!$P$5:$P$55,"Approved")+COUNTIFS(Register!$D$5:$D$55,A10,Register!$P$5:$P$55,"Approved as Noted")</f>
        <v>0</v>
      </c>
      <c r="E10" s="18" t="n">
        <f aca="false">C10-D10</f>
        <v>4</v>
      </c>
    </row>
    <row r="11" customFormat="false" ht="15" hidden="false" customHeight="false" outlineLevel="0" collapsed="false">
      <c r="A11" s="18" t="s">
        <v>159</v>
      </c>
      <c r="B11" s="18" t="s">
        <v>160</v>
      </c>
      <c r="C11" s="18" t="n">
        <f aca="false">COUNTIF(Register!$D$5:$D$55,A11)</f>
        <v>4</v>
      </c>
      <c r="D11" s="18" t="n">
        <f aca="false">COUNTIFS(Register!$D$5:$D$55,A11,Register!$P$5:$P$55,"Approved")+COUNTIFS(Register!$D$5:$D$55,A11,Register!$P$5:$P$55,"Approved as Noted")</f>
        <v>0</v>
      </c>
      <c r="E11" s="18" t="n">
        <f aca="false">C11-D11</f>
        <v>4</v>
      </c>
    </row>
    <row r="12" customFormat="false" ht="15" hidden="false" customHeight="false" outlineLevel="0" collapsed="false">
      <c r="A12" s="18" t="s">
        <v>180</v>
      </c>
      <c r="B12" s="18" t="s">
        <v>181</v>
      </c>
      <c r="C12" s="18" t="n">
        <f aca="false">COUNTIF(Register!$D$5:$D$55,A12)</f>
        <v>6</v>
      </c>
      <c r="D12" s="18" t="n">
        <f aca="false">COUNTIFS(Register!$D$5:$D$55,A12,Register!$P$5:$P$55,"Approved")+COUNTIFS(Register!$D$5:$D$55,A12,Register!$P$5:$P$55,"Approved as Noted")</f>
        <v>0</v>
      </c>
      <c r="E12" s="18" t="n">
        <f aca="false">C12-D12</f>
        <v>6</v>
      </c>
    </row>
    <row r="13" customFormat="false" ht="15" hidden="false" customHeight="false" outlineLevel="0" collapsed="false">
      <c r="A13" s="18" t="s">
        <v>205</v>
      </c>
      <c r="B13" s="18" t="s">
        <v>206</v>
      </c>
      <c r="C13" s="18" t="n">
        <f aca="false">COUNTIF(Register!$D$5:$D$55,A13)</f>
        <v>6</v>
      </c>
      <c r="D13" s="18" t="n">
        <f aca="false">COUNTIFS(Register!$D$5:$D$55,A13,Register!$P$5:$P$55,"Approved")+COUNTIFS(Register!$D$5:$D$55,A13,Register!$P$5:$P$55,"Approved as Noted")</f>
        <v>0</v>
      </c>
      <c r="E13" s="18" t="n">
        <f aca="false">C13-D13</f>
        <v>6</v>
      </c>
    </row>
    <row r="14" customFormat="false" ht="15" hidden="false" customHeight="false" outlineLevel="0" collapsed="false">
      <c r="A14" s="18" t="s">
        <v>223</v>
      </c>
      <c r="B14" s="18" t="s">
        <v>224</v>
      </c>
      <c r="C14" s="18" t="n">
        <f aca="false">COUNTIF(Register!$D$5:$D$55,A14)</f>
        <v>2</v>
      </c>
      <c r="D14" s="18" t="n">
        <f aca="false">COUNTIFS(Register!$D$5:$D$55,A14,Register!$P$5:$P$55,"Approved")+COUNTIFS(Register!$D$5:$D$55,A14,Register!$P$5:$P$55,"Approved as Noted")</f>
        <v>0</v>
      </c>
      <c r="E14" s="18" t="n">
        <f aca="false">C14-D14</f>
        <v>2</v>
      </c>
    </row>
    <row r="15" customFormat="false" ht="15" hidden="false" customHeight="false" outlineLevel="0" collapsed="false">
      <c r="A15" s="18" t="s">
        <v>233</v>
      </c>
      <c r="B15" s="18" t="s">
        <v>234</v>
      </c>
      <c r="C15" s="18" t="n">
        <f aca="false">COUNTIF(Register!$D$5:$D$55,A15)</f>
        <v>1</v>
      </c>
      <c r="D15" s="18" t="n">
        <f aca="false">COUNTIFS(Register!$D$5:$D$55,A15,Register!$P$5:$P$55,"Approved")+COUNTIFS(Register!$D$5:$D$55,A15,Register!$P$5:$P$55,"Approved as Noted")</f>
        <v>0</v>
      </c>
      <c r="E15" s="18" t="n">
        <f aca="false">C15-D15</f>
        <v>1</v>
      </c>
    </row>
    <row r="16" customFormat="false" ht="15" hidden="false" customHeight="false" outlineLevel="0" collapsed="false">
      <c r="A16" s="18" t="s">
        <v>239</v>
      </c>
      <c r="B16" s="18" t="s">
        <v>240</v>
      </c>
      <c r="C16" s="18" t="n">
        <f aca="false">COUNTIF(Register!$D$5:$D$55,A16)</f>
        <v>1</v>
      </c>
      <c r="D16" s="18" t="n">
        <f aca="false">COUNTIFS(Register!$D$5:$D$55,A16,Register!$P$5:$P$55,"Approved")+COUNTIFS(Register!$D$5:$D$55,A16,Register!$P$5:$P$55,"Approved as Noted")</f>
        <v>0</v>
      </c>
      <c r="E16" s="18" t="n">
        <f aca="false">C16-D16</f>
        <v>1</v>
      </c>
    </row>
    <row r="17" customFormat="false" ht="15" hidden="false" customHeight="false" outlineLevel="0" collapsed="false">
      <c r="A17" s="18" t="s">
        <v>244</v>
      </c>
      <c r="B17" s="18" t="s">
        <v>245</v>
      </c>
      <c r="C17" s="18" t="n">
        <f aca="false">COUNTIF(Register!$D$5:$D$55,A17)</f>
        <v>3</v>
      </c>
      <c r="D17" s="18" t="n">
        <f aca="false">COUNTIFS(Register!$D$5:$D$55,A17,Register!$P$5:$P$55,"Approved")+COUNTIFS(Register!$D$5:$D$55,A17,Register!$P$5:$P$55,"Approved as Noted")</f>
        <v>0</v>
      </c>
      <c r="E17" s="18" t="n">
        <f aca="false">C17-D17</f>
        <v>3</v>
      </c>
    </row>
    <row r="18" customFormat="false" ht="15" hidden="false" customHeight="false" outlineLevel="0" collapsed="false">
      <c r="A18" s="18" t="s">
        <v>257</v>
      </c>
      <c r="B18" s="18" t="s">
        <v>258</v>
      </c>
      <c r="C18" s="18" t="n">
        <f aca="false">COUNTIF(Register!$D$5:$D$55,A18)</f>
        <v>3</v>
      </c>
      <c r="D18" s="18" t="n">
        <f aca="false">COUNTIFS(Register!$D$5:$D$55,A18,Register!$P$5:$P$55,"Approved")+COUNTIFS(Register!$D$5:$D$55,A18,Register!$P$5:$P$55,"Approved as Noted")</f>
        <v>0</v>
      </c>
      <c r="E18" s="18" t="n">
        <f aca="false">C18-D18</f>
        <v>3</v>
      </c>
    </row>
    <row r="19" customFormat="false" ht="15" hidden="false" customHeight="false" outlineLevel="0" collapsed="false">
      <c r="A19" s="14" t="s">
        <v>308</v>
      </c>
      <c r="C19" s="19" t="n">
        <f aca="false">SUM(C4:C18)</f>
        <v>51</v>
      </c>
      <c r="D19" s="19" t="n">
        <f aca="false">SUM(D4:D18)</f>
        <v>0</v>
      </c>
      <c r="E19" s="19" t="n">
        <f aca="false">SUM(E4:E18)</f>
        <v>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0"/>
  </cols>
  <sheetData>
    <row r="1" customFormat="false" ht="17.35" hidden="false" customHeight="false" outlineLevel="0" collapsed="false">
      <c r="A1" s="1" t="s">
        <v>309</v>
      </c>
    </row>
    <row r="3" customFormat="false" ht="15" hidden="false" customHeight="false" outlineLevel="0" collapsed="false">
      <c r="A3" s="3" t="s">
        <v>310</v>
      </c>
      <c r="B3" s="3" t="s">
        <v>311</v>
      </c>
    </row>
    <row r="4" customFormat="false" ht="15" hidden="false" customHeight="false" outlineLevel="0" collapsed="false">
      <c r="A4" s="14" t="s">
        <v>100</v>
      </c>
      <c r="B4" s="16" t="s">
        <v>312</v>
      </c>
    </row>
    <row r="5" customFormat="false" ht="15" hidden="false" customHeight="false" outlineLevel="0" collapsed="false">
      <c r="A5" s="14" t="s">
        <v>60</v>
      </c>
      <c r="B5" s="16" t="s">
        <v>313</v>
      </c>
    </row>
    <row r="6" customFormat="false" ht="15" hidden="false" customHeight="false" outlineLevel="0" collapsed="false">
      <c r="A6" s="14" t="s">
        <v>314</v>
      </c>
      <c r="B6" s="16" t="s">
        <v>315</v>
      </c>
    </row>
    <row r="7" customFormat="false" ht="15" hidden="false" customHeight="false" outlineLevel="0" collapsed="false">
      <c r="A7" s="14" t="s">
        <v>316</v>
      </c>
      <c r="B7" s="16" t="s">
        <v>317</v>
      </c>
    </row>
    <row r="8" customFormat="false" ht="15" hidden="false" customHeight="false" outlineLevel="0" collapsed="false">
      <c r="A8" s="14" t="s">
        <v>84</v>
      </c>
      <c r="B8" s="16" t="s">
        <v>318</v>
      </c>
    </row>
    <row r="9" customFormat="false" ht="15" hidden="false" customHeight="false" outlineLevel="0" collapsed="false">
      <c r="A9" s="14" t="s">
        <v>48</v>
      </c>
      <c r="B9" s="16" t="s">
        <v>319</v>
      </c>
    </row>
    <row r="10" customFormat="false" ht="15" hidden="false" customHeight="false" outlineLevel="0" collapsed="false">
      <c r="A10" s="14" t="s">
        <v>90</v>
      </c>
      <c r="B10" s="16" t="s">
        <v>320</v>
      </c>
    </row>
    <row r="11" customFormat="false" ht="15" hidden="false" customHeight="false" outlineLevel="0" collapsed="false">
      <c r="A11" s="14" t="s">
        <v>132</v>
      </c>
      <c r="B11" s="16" t="s">
        <v>321</v>
      </c>
    </row>
    <row r="12" customFormat="false" ht="15" hidden="false" customHeight="false" outlineLevel="0" collapsed="false">
      <c r="A12" s="14" t="s">
        <v>122</v>
      </c>
      <c r="B12" s="16" t="s">
        <v>322</v>
      </c>
    </row>
    <row r="13" customFormat="false" ht="15" hidden="false" customHeight="false" outlineLevel="0" collapsed="false">
      <c r="A13" s="14" t="s">
        <v>323</v>
      </c>
      <c r="B13" s="16" t="s">
        <v>324</v>
      </c>
    </row>
    <row r="14" customFormat="false" ht="15" hidden="false" customHeight="false" outlineLevel="0" collapsed="false">
      <c r="A14" s="14" t="s">
        <v>161</v>
      </c>
      <c r="B14" s="16" t="s">
        <v>325</v>
      </c>
    </row>
    <row r="15" customFormat="false" ht="15" hidden="false" customHeight="false" outlineLevel="0" collapsed="false">
      <c r="A15" s="14" t="s">
        <v>26</v>
      </c>
      <c r="B15" s="16" t="s">
        <v>326</v>
      </c>
    </row>
    <row r="16" customFormat="false" ht="15" hidden="false" customHeight="false" outlineLevel="0" collapsed="false">
      <c r="A16" s="14" t="s">
        <v>34</v>
      </c>
      <c r="B16" s="16" t="s">
        <v>327</v>
      </c>
    </row>
    <row r="17" customFormat="false" ht="15" hidden="false" customHeight="false" outlineLevel="0" collapsed="false">
      <c r="A17" s="14" t="s">
        <v>328</v>
      </c>
      <c r="B17" s="16" t="s">
        <v>329</v>
      </c>
    </row>
    <row r="18" customFormat="false" ht="15" hidden="false" customHeight="false" outlineLevel="0" collapsed="false">
      <c r="A18" s="14" t="s">
        <v>330</v>
      </c>
      <c r="B18" s="16" t="s">
        <v>331</v>
      </c>
    </row>
    <row r="20" customFormat="false" ht="15" hidden="false" customHeight="false" outlineLevel="0" collapsed="false">
      <c r="A20" s="14" t="s">
        <v>332</v>
      </c>
    </row>
    <row r="21" customFormat="false" ht="15" hidden="false" customHeight="false" outlineLevel="0" collapsed="false">
      <c r="A21" s="20"/>
      <c r="B21" s="16" t="s">
        <v>333</v>
      </c>
    </row>
    <row r="22" customFormat="false" ht="15" hidden="false" customHeight="false" outlineLevel="0" collapsed="false">
      <c r="A22" s="21"/>
      <c r="B22" s="16" t="s">
        <v>334</v>
      </c>
    </row>
    <row r="23" customFormat="false" ht="15" hidden="false" customHeight="false" outlineLevel="0" collapsed="false">
      <c r="B23" s="16" t="s">
        <v>335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2026-10-27T17:36:50Z</dcterms:created>
  <dc:creator>openpyxl</dc:creator>
  <dc:description/>
  <dc:language>en-US</dc:language>
  <cp:lastModifiedBy/>
  <dcterms:modified xsi:type="dcterms:W3CDTF">2026-10-27T17:36:50Z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